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
    </mc:Choice>
  </mc:AlternateContent>
  <xr:revisionPtr revIDLastSave="0" documentId="8_{6F216C09-CD4F-4D42-9674-D4EA1DBACA98}" xr6:coauthVersionLast="47" xr6:coauthVersionMax="47" xr10:uidLastSave="{00000000-0000-0000-0000-000000000000}"/>
  <bookViews>
    <workbookView xWindow="-108" yWindow="-108" windowWidth="23256" windowHeight="12456" activeTab="3" xr2:uid="{00000000-000D-0000-FFFF-FFFF00000000}"/>
  </bookViews>
  <sheets>
    <sheet name="cleaned_data" sheetId="2" r:id="rId1"/>
    <sheet name="Sheet1" sheetId="3" r:id="rId2"/>
    <sheet name="pivote_chats" sheetId="5" r:id="rId3"/>
    <sheet name="Dashboard" sheetId="16" r:id="rId4"/>
    <sheet name="raw_data" sheetId="1" r:id="rId5"/>
  </sheets>
  <definedNames>
    <definedName name="ExternalData_1" localSheetId="0" hidden="1">cleaned_data!$A$1:$G$301</definedName>
    <definedName name="Slicer_1h_Change">#N/A</definedName>
    <definedName name="Slicer_Price__USD">#N/A</definedName>
    <definedName name="Slicer_Price__USD1">#N/A</definedName>
  </definedNames>
  <calcPr calcId="191029"/>
  <pivotCaches>
    <pivotCache cacheId="0"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8" i="5" l="1"/>
  <c r="P116" i="5"/>
  <c r="E67" i="5"/>
  <c r="E68" i="5"/>
  <c r="E69" i="5"/>
  <c r="E70" i="5"/>
  <c r="E66" i="5"/>
  <c r="D67" i="5"/>
  <c r="D68" i="5"/>
  <c r="D69" i="5"/>
  <c r="D70" i="5"/>
  <c r="D66" i="5"/>
  <c r="H35" i="1"/>
  <c r="H64" i="1"/>
  <c r="H86" i="1"/>
  <c r="H258" i="1"/>
  <c r="H46" i="1"/>
  <c r="H277" i="1"/>
  <c r="H296" i="1"/>
  <c r="H240" i="1"/>
  <c r="H269" i="1"/>
  <c r="H124" i="1"/>
  <c r="H76" i="1"/>
  <c r="H274" i="1"/>
  <c r="H300" i="1"/>
  <c r="H172" i="1"/>
  <c r="H55" i="1"/>
  <c r="H147" i="1"/>
  <c r="H5" i="1"/>
  <c r="H40" i="1"/>
  <c r="H141" i="1"/>
  <c r="H139" i="1"/>
  <c r="H37" i="1"/>
  <c r="H246" i="1"/>
  <c r="H199" i="1"/>
  <c r="H171" i="1"/>
  <c r="H48" i="1"/>
  <c r="H71" i="1"/>
  <c r="H65" i="1"/>
  <c r="H259" i="1"/>
  <c r="H135" i="1"/>
  <c r="H126" i="1"/>
  <c r="H213" i="1"/>
  <c r="H70" i="1"/>
  <c r="H189" i="1"/>
  <c r="H119" i="1"/>
  <c r="H88" i="1"/>
  <c r="H278" i="1"/>
  <c r="H54" i="1"/>
  <c r="H140" i="1"/>
  <c r="H30" i="1"/>
  <c r="H104" i="1"/>
  <c r="H280" i="1"/>
  <c r="H241" i="1"/>
  <c r="H275" i="1"/>
  <c r="H273" i="1"/>
  <c r="H81" i="1"/>
  <c r="H215" i="1"/>
  <c r="H202" i="1"/>
  <c r="H136" i="1"/>
  <c r="H32" i="1"/>
  <c r="H301" i="1"/>
  <c r="H27" i="1"/>
  <c r="H153" i="1"/>
  <c r="H144" i="1"/>
  <c r="H11" i="1"/>
  <c r="H271" i="1"/>
  <c r="H17" i="1"/>
  <c r="H193" i="1"/>
  <c r="H175" i="1"/>
  <c r="H261" i="1"/>
  <c r="H95" i="1"/>
  <c r="H186" i="1"/>
  <c r="H197" i="1"/>
  <c r="H224" i="1"/>
  <c r="H38" i="1"/>
  <c r="H262" i="1"/>
  <c r="H132" i="1"/>
  <c r="H169" i="1"/>
  <c r="H102" i="1"/>
  <c r="H51" i="1"/>
  <c r="H66" i="1"/>
  <c r="H87" i="1"/>
  <c r="H195" i="1"/>
  <c r="H58" i="1"/>
  <c r="H255" i="1"/>
  <c r="H196" i="1"/>
  <c r="H23" i="1"/>
  <c r="H182" i="1"/>
  <c r="H156" i="1"/>
  <c r="H279" i="1"/>
  <c r="H114" i="1"/>
  <c r="H292" i="1"/>
  <c r="H293" i="1"/>
  <c r="H237" i="1"/>
  <c r="H82" i="1"/>
  <c r="H127" i="1"/>
  <c r="H157" i="1"/>
  <c r="H233" i="1"/>
  <c r="H43" i="1"/>
  <c r="H29" i="1"/>
  <c r="H15" i="1"/>
  <c r="H125" i="1"/>
  <c r="H242" i="1"/>
  <c r="H105" i="1"/>
  <c r="H168" i="1"/>
  <c r="H61" i="1"/>
  <c r="H131" i="1"/>
  <c r="H166" i="1"/>
  <c r="H227" i="1"/>
  <c r="H248" i="1"/>
  <c r="H191" i="1"/>
  <c r="H291" i="1"/>
  <c r="H228" i="1"/>
  <c r="H223" i="1"/>
  <c r="H263" i="1"/>
  <c r="H190" i="1"/>
  <c r="H129" i="1"/>
  <c r="H247" i="1"/>
  <c r="H42" i="1"/>
  <c r="H94" i="1"/>
  <c r="H19" i="1"/>
  <c r="H41" i="1"/>
  <c r="H283" i="1"/>
  <c r="H289" i="1"/>
  <c r="H160" i="1"/>
  <c r="H221" i="1"/>
  <c r="H121" i="1"/>
  <c r="H253" i="1"/>
  <c r="H3" i="1"/>
  <c r="H299" i="1"/>
  <c r="H99" i="1"/>
  <c r="H24" i="1"/>
  <c r="H91" i="1"/>
  <c r="H239" i="1"/>
  <c r="H208" i="1"/>
  <c r="H212" i="1"/>
  <c r="H165" i="1"/>
  <c r="H249" i="1"/>
  <c r="H276" i="1"/>
  <c r="H133" i="1"/>
  <c r="H188" i="1"/>
  <c r="H230" i="1"/>
  <c r="H194" i="1"/>
  <c r="H36" i="1"/>
  <c r="H297" i="1"/>
  <c r="H257" i="1"/>
  <c r="H112" i="1"/>
  <c r="H163" i="1"/>
  <c r="H179" i="1"/>
  <c r="H6" i="1"/>
  <c r="H47" i="1"/>
  <c r="H62" i="1"/>
  <c r="H69" i="1"/>
  <c r="H177" i="1"/>
  <c r="H77" i="1"/>
  <c r="H130" i="1"/>
  <c r="H142" i="1"/>
  <c r="H181" i="1"/>
  <c r="H138" i="1"/>
  <c r="H173" i="1"/>
  <c r="H89" i="1"/>
  <c r="H80" i="1"/>
  <c r="H21" i="1"/>
  <c r="H266" i="1"/>
  <c r="H16" i="1"/>
  <c r="H174" i="1"/>
  <c r="H25" i="1"/>
  <c r="H243" i="1"/>
  <c r="H134" i="1"/>
  <c r="H245" i="1"/>
  <c r="H110" i="1"/>
  <c r="H284" i="1"/>
  <c r="H68" i="1"/>
  <c r="H28" i="1"/>
  <c r="H200" i="1"/>
  <c r="H90" i="1"/>
  <c r="H108" i="1"/>
  <c r="H145" i="1"/>
  <c r="H123" i="1"/>
  <c r="H210" i="1"/>
  <c r="H267" i="1"/>
  <c r="H158" i="1"/>
  <c r="H252" i="1"/>
  <c r="H85" i="1"/>
  <c r="H155" i="1"/>
  <c r="H52" i="1"/>
  <c r="H12" i="1"/>
  <c r="H268" i="1"/>
  <c r="H39" i="1"/>
  <c r="H281" i="1"/>
  <c r="H231" i="1"/>
  <c r="H84" i="1"/>
  <c r="H286" i="1"/>
  <c r="H152" i="1"/>
  <c r="H151" i="1"/>
  <c r="H149" i="1"/>
  <c r="H178" i="1"/>
  <c r="H170" i="1"/>
  <c r="H53" i="1"/>
  <c r="H7" i="1"/>
  <c r="H226" i="1"/>
  <c r="H118" i="1"/>
  <c r="H98" i="1"/>
  <c r="H18" i="1"/>
  <c r="H56" i="1"/>
  <c r="H203" i="1"/>
  <c r="H14" i="1"/>
  <c r="H287" i="1"/>
  <c r="H225" i="1"/>
  <c r="H22" i="1"/>
  <c r="H217" i="1"/>
  <c r="H294" i="1"/>
  <c r="H159" i="1"/>
  <c r="H75" i="1"/>
  <c r="H10" i="1"/>
  <c r="H59" i="1"/>
  <c r="H96" i="1"/>
  <c r="H103" i="1"/>
  <c r="H4" i="1"/>
  <c r="H187" i="1"/>
  <c r="H207" i="1"/>
  <c r="H198" i="1"/>
  <c r="H251" i="1"/>
  <c r="H128" i="1"/>
  <c r="H49" i="1"/>
  <c r="H93" i="1"/>
  <c r="H164" i="1"/>
  <c r="H183" i="1"/>
  <c r="H288" i="1"/>
  <c r="H162" i="1"/>
  <c r="H106" i="1"/>
  <c r="H8" i="1"/>
  <c r="H282" i="1"/>
  <c r="H83" i="1"/>
  <c r="H254" i="1"/>
  <c r="H31" i="1"/>
  <c r="H79" i="1"/>
  <c r="H92" i="1"/>
  <c r="H270" i="1"/>
  <c r="H26" i="1"/>
  <c r="H206" i="1"/>
  <c r="H184" i="1"/>
  <c r="H9" i="1"/>
  <c r="H209" i="1"/>
  <c r="H250" i="1"/>
  <c r="H295" i="1"/>
  <c r="H148" i="1"/>
  <c r="H235" i="1"/>
  <c r="H137" i="1"/>
  <c r="H120" i="1"/>
  <c r="H50" i="1"/>
  <c r="H285" i="1"/>
  <c r="H143" i="1"/>
  <c r="H34" i="1"/>
  <c r="H63" i="1"/>
  <c r="H78" i="1"/>
  <c r="H33" i="1"/>
  <c r="H265" i="1"/>
  <c r="H20" i="1"/>
  <c r="H298" i="1"/>
  <c r="H219" i="1"/>
  <c r="H167" i="1"/>
  <c r="H113" i="1"/>
  <c r="H220" i="1"/>
  <c r="H214" i="1"/>
  <c r="H97" i="1"/>
  <c r="H290" i="1"/>
  <c r="H216" i="1"/>
  <c r="H256" i="1"/>
  <c r="H161" i="1"/>
  <c r="H60" i="1"/>
  <c r="H74" i="1"/>
  <c r="H264" i="1"/>
  <c r="H154" i="1"/>
  <c r="H201" i="1"/>
  <c r="H260" i="1"/>
  <c r="H101" i="1"/>
  <c r="H218" i="1"/>
  <c r="H236" i="1"/>
  <c r="H67" i="1"/>
  <c r="H2" i="1"/>
  <c r="H116" i="1"/>
  <c r="H204" i="1"/>
  <c r="H205" i="1"/>
  <c r="H229" i="1"/>
  <c r="H109" i="1"/>
  <c r="H111" i="1"/>
  <c r="H122" i="1"/>
  <c r="H272" i="1"/>
  <c r="H211" i="1"/>
  <c r="H146" i="1"/>
  <c r="H45" i="1"/>
  <c r="H117" i="1"/>
  <c r="H180" i="1"/>
  <c r="H185" i="1"/>
  <c r="H100" i="1"/>
  <c r="H150" i="1"/>
  <c r="H57" i="1"/>
  <c r="H72" i="1"/>
  <c r="H222" i="1"/>
  <c r="H232" i="1"/>
  <c r="H73" i="1"/>
  <c r="H238" i="1"/>
  <c r="H13" i="1"/>
  <c r="H115" i="1"/>
  <c r="H192" i="1"/>
  <c r="H107" i="1"/>
  <c r="H44" i="1"/>
  <c r="H244" i="1"/>
  <c r="H234" i="1"/>
  <c r="H176" i="1"/>
  <c r="J198" i="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I198"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J64" i="1"/>
  <c r="J35" i="1"/>
  <c r="J86" i="1"/>
  <c r="J258" i="1"/>
  <c r="J46" i="1"/>
  <c r="J277" i="1"/>
  <c r="J296" i="1"/>
  <c r="J240" i="1"/>
  <c r="J269" i="1"/>
  <c r="J124" i="1"/>
  <c r="J76" i="1"/>
  <c r="J274" i="1"/>
  <c r="J300" i="1"/>
  <c r="J172" i="1"/>
  <c r="J55" i="1"/>
  <c r="J147" i="1"/>
  <c r="J5" i="1"/>
  <c r="J40" i="1"/>
  <c r="J141" i="1"/>
  <c r="J139" i="1"/>
  <c r="J37" i="1"/>
  <c r="J246" i="1"/>
  <c r="J199" i="1"/>
  <c r="J171" i="1"/>
  <c r="J48" i="1"/>
  <c r="J71" i="1"/>
  <c r="J65" i="1"/>
  <c r="J259" i="1"/>
  <c r="J135" i="1"/>
  <c r="J126" i="1"/>
  <c r="J213" i="1"/>
  <c r="J70" i="1"/>
  <c r="J189" i="1"/>
  <c r="J119" i="1"/>
  <c r="J88" i="1"/>
  <c r="J278" i="1"/>
  <c r="J54" i="1"/>
  <c r="J140" i="1"/>
  <c r="J30" i="1"/>
  <c r="J104" i="1"/>
  <c r="J280" i="1"/>
  <c r="J241" i="1"/>
  <c r="J275" i="1"/>
  <c r="J273" i="1"/>
  <c r="J81" i="1"/>
  <c r="J215" i="1"/>
  <c r="J202" i="1"/>
  <c r="J136" i="1"/>
  <c r="J32" i="1"/>
  <c r="J301" i="1"/>
  <c r="J27" i="1"/>
  <c r="J153" i="1"/>
  <c r="J144" i="1"/>
  <c r="J11" i="1"/>
  <c r="J271" i="1"/>
  <c r="J17" i="1"/>
  <c r="J193" i="1"/>
  <c r="J175" i="1"/>
  <c r="J261" i="1"/>
  <c r="J95" i="1"/>
  <c r="J186" i="1"/>
  <c r="J197" i="1"/>
  <c r="J224" i="1"/>
  <c r="J38" i="1"/>
  <c r="J262" i="1"/>
  <c r="J132" i="1"/>
  <c r="J169" i="1"/>
  <c r="J102" i="1"/>
  <c r="J51" i="1"/>
  <c r="J66" i="1"/>
  <c r="J87" i="1"/>
  <c r="J195" i="1"/>
  <c r="J58" i="1"/>
  <c r="J255" i="1"/>
  <c r="J196" i="1"/>
  <c r="J23" i="1"/>
  <c r="J182" i="1"/>
  <c r="J156" i="1"/>
  <c r="J279" i="1"/>
  <c r="J114" i="1"/>
  <c r="J292" i="1"/>
  <c r="J293" i="1"/>
  <c r="J237" i="1"/>
  <c r="J82" i="1"/>
  <c r="J127" i="1"/>
  <c r="J157" i="1"/>
  <c r="J233" i="1"/>
  <c r="J43" i="1"/>
  <c r="J29" i="1"/>
  <c r="J15" i="1"/>
  <c r="J125" i="1"/>
  <c r="J242" i="1"/>
  <c r="J105" i="1"/>
  <c r="J168" i="1"/>
  <c r="J61" i="1"/>
  <c r="J131" i="1"/>
  <c r="J166" i="1"/>
  <c r="J227" i="1"/>
  <c r="J248" i="1"/>
  <c r="J191" i="1"/>
  <c r="J291" i="1"/>
  <c r="J228" i="1"/>
  <c r="J223" i="1"/>
  <c r="J263" i="1"/>
  <c r="J190" i="1"/>
  <c r="J129" i="1"/>
  <c r="J247" i="1"/>
  <c r="J42" i="1"/>
  <c r="J94" i="1"/>
  <c r="J19" i="1"/>
  <c r="J41" i="1"/>
  <c r="J283" i="1"/>
  <c r="J289" i="1"/>
  <c r="J160" i="1"/>
  <c r="J221" i="1"/>
  <c r="J121" i="1"/>
  <c r="J253" i="1"/>
  <c r="J3" i="1"/>
  <c r="J299" i="1"/>
  <c r="J99" i="1"/>
  <c r="J24" i="1"/>
  <c r="J91" i="1"/>
  <c r="J239" i="1"/>
  <c r="J208" i="1"/>
  <c r="J212" i="1"/>
  <c r="J165" i="1"/>
  <c r="J249" i="1"/>
  <c r="J276" i="1"/>
  <c r="J133" i="1"/>
  <c r="J188" i="1"/>
  <c r="J230" i="1"/>
  <c r="J194" i="1"/>
  <c r="J36" i="1"/>
  <c r="J297" i="1"/>
  <c r="J257" i="1"/>
  <c r="J112" i="1"/>
  <c r="J163" i="1"/>
  <c r="J179" i="1"/>
  <c r="J6" i="1"/>
  <c r="J47" i="1"/>
  <c r="J62" i="1"/>
  <c r="J69" i="1"/>
  <c r="J177" i="1"/>
  <c r="J77" i="1"/>
  <c r="J130" i="1"/>
  <c r="J142" i="1"/>
  <c r="J181" i="1"/>
  <c r="J138" i="1"/>
  <c r="J173" i="1"/>
  <c r="J89" i="1"/>
  <c r="J80" i="1"/>
  <c r="J21" i="1"/>
  <c r="J266" i="1"/>
  <c r="J16" i="1"/>
  <c r="J174" i="1"/>
  <c r="J25" i="1"/>
  <c r="J243" i="1"/>
  <c r="J134" i="1"/>
  <c r="J245" i="1"/>
  <c r="J110" i="1"/>
  <c r="J284" i="1"/>
  <c r="J68" i="1"/>
  <c r="J28" i="1"/>
  <c r="J200" i="1"/>
  <c r="J90" i="1"/>
  <c r="J108" i="1"/>
  <c r="J145" i="1"/>
  <c r="J123" i="1"/>
  <c r="J210" i="1"/>
  <c r="J267" i="1"/>
  <c r="J158" i="1"/>
  <c r="J252" i="1"/>
  <c r="J85" i="1"/>
  <c r="J155" i="1"/>
  <c r="J52" i="1"/>
  <c r="J12" i="1"/>
  <c r="J268" i="1"/>
  <c r="J39" i="1"/>
  <c r="J281" i="1"/>
  <c r="J231" i="1"/>
  <c r="J84" i="1"/>
  <c r="J286" i="1"/>
  <c r="J152" i="1"/>
  <c r="J151" i="1"/>
  <c r="J149" i="1"/>
  <c r="J178" i="1"/>
  <c r="J170" i="1"/>
  <c r="J53" i="1"/>
  <c r="J7" i="1"/>
  <c r="J226" i="1"/>
  <c r="J118" i="1"/>
  <c r="J98" i="1"/>
  <c r="J18" i="1"/>
  <c r="J56" i="1"/>
  <c r="J203" i="1"/>
  <c r="J14" i="1"/>
  <c r="J287" i="1"/>
  <c r="J225" i="1"/>
  <c r="J22" i="1"/>
  <c r="J217" i="1"/>
  <c r="J294" i="1"/>
  <c r="J159" i="1"/>
  <c r="J75" i="1"/>
  <c r="J10" i="1"/>
  <c r="J59" i="1"/>
  <c r="J96" i="1"/>
  <c r="J103" i="1"/>
  <c r="J4" i="1"/>
  <c r="J187" i="1"/>
  <c r="J207" i="1"/>
  <c r="J251" i="1"/>
  <c r="J128" i="1"/>
  <c r="J49" i="1"/>
  <c r="J93" i="1"/>
  <c r="J164" i="1"/>
  <c r="J183" i="1"/>
  <c r="J288" i="1"/>
  <c r="J162" i="1"/>
  <c r="J106" i="1"/>
  <c r="J8" i="1"/>
  <c r="J282" i="1"/>
  <c r="J83" i="1"/>
  <c r="J254" i="1"/>
  <c r="J31" i="1"/>
  <c r="J79" i="1"/>
  <c r="J92" i="1"/>
  <c r="J270" i="1"/>
  <c r="J26" i="1"/>
  <c r="J206" i="1"/>
  <c r="J184" i="1"/>
  <c r="J9" i="1"/>
  <c r="J209" i="1"/>
  <c r="J250" i="1"/>
  <c r="J295" i="1"/>
  <c r="J148" i="1"/>
  <c r="J235" i="1"/>
  <c r="J137" i="1"/>
  <c r="J120" i="1"/>
  <c r="J50" i="1"/>
  <c r="J285" i="1"/>
  <c r="J143" i="1"/>
  <c r="J34" i="1"/>
  <c r="J63" i="1"/>
  <c r="J78" i="1"/>
  <c r="J33" i="1"/>
  <c r="J265" i="1"/>
  <c r="J20" i="1"/>
  <c r="J298" i="1"/>
  <c r="J219" i="1"/>
  <c r="J167" i="1"/>
  <c r="J113" i="1"/>
  <c r="J220" i="1"/>
  <c r="J214" i="1"/>
  <c r="J97" i="1"/>
  <c r="J290" i="1"/>
  <c r="J216" i="1"/>
  <c r="J256" i="1"/>
  <c r="J161" i="1"/>
  <c r="J60" i="1"/>
  <c r="J74" i="1"/>
  <c r="J264" i="1"/>
  <c r="J154" i="1"/>
  <c r="J201" i="1"/>
  <c r="J260" i="1"/>
  <c r="J101" i="1"/>
  <c r="J218" i="1"/>
  <c r="J236" i="1"/>
  <c r="J67" i="1"/>
  <c r="J2" i="1"/>
  <c r="J116" i="1"/>
  <c r="J204" i="1"/>
  <c r="J205" i="1"/>
  <c r="J229" i="1"/>
  <c r="J109" i="1"/>
  <c r="J111" i="1"/>
  <c r="J122" i="1"/>
  <c r="J272" i="1"/>
  <c r="J211" i="1"/>
  <c r="J146" i="1"/>
  <c r="J45" i="1"/>
  <c r="J117" i="1"/>
  <c r="J180" i="1"/>
  <c r="J185" i="1"/>
  <c r="J100" i="1"/>
  <c r="J150" i="1"/>
  <c r="J57" i="1"/>
  <c r="J72" i="1"/>
  <c r="J222" i="1"/>
  <c r="J232" i="1"/>
  <c r="J73" i="1"/>
  <c r="J238" i="1"/>
  <c r="J13" i="1"/>
  <c r="J115" i="1"/>
  <c r="J192" i="1"/>
  <c r="J107" i="1"/>
  <c r="J44" i="1"/>
  <c r="J244" i="1"/>
  <c r="J234" i="1"/>
  <c r="J176" i="1"/>
  <c r="I64" i="1"/>
  <c r="I35" i="1"/>
  <c r="I86" i="1"/>
  <c r="I258" i="1"/>
  <c r="I46" i="1"/>
  <c r="I277" i="1"/>
  <c r="I296" i="1"/>
  <c r="I240" i="1"/>
  <c r="I269" i="1"/>
  <c r="I124" i="1"/>
  <c r="I76" i="1"/>
  <c r="I274" i="1"/>
  <c r="I300" i="1"/>
  <c r="I172" i="1"/>
  <c r="I55" i="1"/>
  <c r="I147" i="1"/>
  <c r="I5" i="1"/>
  <c r="I40" i="1"/>
  <c r="I141" i="1"/>
  <c r="I139" i="1"/>
  <c r="I37" i="1"/>
  <c r="I246" i="1"/>
  <c r="I199" i="1"/>
  <c r="I171" i="1"/>
  <c r="I48" i="1"/>
  <c r="I71" i="1"/>
  <c r="I65" i="1"/>
  <c r="I259" i="1"/>
  <c r="I135" i="1"/>
  <c r="I126" i="1"/>
  <c r="I213" i="1"/>
  <c r="I70" i="1"/>
  <c r="I189" i="1"/>
  <c r="I119" i="1"/>
  <c r="I88" i="1"/>
  <c r="I278" i="1"/>
  <c r="I54" i="1"/>
  <c r="I140" i="1"/>
  <c r="I30" i="1"/>
  <c r="I104" i="1"/>
  <c r="I280" i="1"/>
  <c r="I241" i="1"/>
  <c r="I275" i="1"/>
  <c r="I273" i="1"/>
  <c r="I81" i="1"/>
  <c r="I215" i="1"/>
  <c r="I202" i="1"/>
  <c r="I136" i="1"/>
  <c r="I32" i="1"/>
  <c r="I301" i="1"/>
  <c r="I27" i="1"/>
  <c r="I153" i="1"/>
  <c r="I144" i="1"/>
  <c r="I11" i="1"/>
  <c r="I271" i="1"/>
  <c r="I17" i="1"/>
  <c r="I193" i="1"/>
  <c r="I175" i="1"/>
  <c r="I261" i="1"/>
  <c r="I95" i="1"/>
  <c r="I186" i="1"/>
  <c r="I197" i="1"/>
  <c r="I224" i="1"/>
  <c r="I38" i="1"/>
  <c r="I262" i="1"/>
  <c r="I132" i="1"/>
  <c r="I169" i="1"/>
  <c r="I102" i="1"/>
  <c r="I51" i="1"/>
  <c r="I66" i="1"/>
  <c r="I87" i="1"/>
  <c r="I195" i="1"/>
  <c r="I58" i="1"/>
  <c r="I255" i="1"/>
  <c r="I196" i="1"/>
  <c r="I23" i="1"/>
  <c r="I182" i="1"/>
  <c r="I156" i="1"/>
  <c r="I279" i="1"/>
  <c r="I114" i="1"/>
  <c r="I292" i="1"/>
  <c r="I293" i="1"/>
  <c r="I237" i="1"/>
  <c r="I82" i="1"/>
  <c r="I127" i="1"/>
  <c r="I157" i="1"/>
  <c r="I233" i="1"/>
  <c r="I43" i="1"/>
  <c r="I29" i="1"/>
  <c r="I15" i="1"/>
  <c r="I125" i="1"/>
  <c r="I242" i="1"/>
  <c r="I105" i="1"/>
  <c r="I168" i="1"/>
  <c r="I61" i="1"/>
  <c r="I131" i="1"/>
  <c r="I166" i="1"/>
  <c r="I227" i="1"/>
  <c r="I248" i="1"/>
  <c r="I191" i="1"/>
  <c r="I291" i="1"/>
  <c r="I228" i="1"/>
  <c r="I223" i="1"/>
  <c r="I263" i="1"/>
  <c r="I190" i="1"/>
  <c r="I129" i="1"/>
  <c r="I247" i="1"/>
  <c r="I42" i="1"/>
  <c r="I94" i="1"/>
  <c r="I19" i="1"/>
  <c r="I41" i="1"/>
  <c r="I283" i="1"/>
  <c r="I289" i="1"/>
  <c r="I160" i="1"/>
  <c r="I221" i="1"/>
  <c r="I121" i="1"/>
  <c r="I253" i="1"/>
  <c r="I3" i="1"/>
  <c r="I299" i="1"/>
  <c r="I99" i="1"/>
  <c r="I24" i="1"/>
  <c r="I91" i="1"/>
  <c r="I239" i="1"/>
  <c r="I208" i="1"/>
  <c r="I212" i="1"/>
  <c r="I165" i="1"/>
  <c r="I249" i="1"/>
  <c r="I276" i="1"/>
  <c r="I133" i="1"/>
  <c r="I188" i="1"/>
  <c r="I230" i="1"/>
  <c r="I194" i="1"/>
  <c r="I36" i="1"/>
  <c r="I297" i="1"/>
  <c r="I257" i="1"/>
  <c r="I112" i="1"/>
  <c r="I163" i="1"/>
  <c r="I179" i="1"/>
  <c r="I6" i="1"/>
  <c r="I47" i="1"/>
  <c r="I62" i="1"/>
  <c r="I69" i="1"/>
  <c r="I177" i="1"/>
  <c r="I77" i="1"/>
  <c r="I130" i="1"/>
  <c r="I142" i="1"/>
  <c r="I181" i="1"/>
  <c r="I138" i="1"/>
  <c r="I173" i="1"/>
  <c r="I89" i="1"/>
  <c r="I80" i="1"/>
  <c r="I21" i="1"/>
  <c r="I266" i="1"/>
  <c r="I16" i="1"/>
  <c r="I174" i="1"/>
  <c r="I25" i="1"/>
  <c r="I243" i="1"/>
  <c r="I134" i="1"/>
  <c r="I245" i="1"/>
  <c r="I110" i="1"/>
  <c r="I284" i="1"/>
  <c r="I68" i="1"/>
  <c r="I28" i="1"/>
  <c r="I200" i="1"/>
  <c r="I90" i="1"/>
  <c r="I108" i="1"/>
  <c r="I145" i="1"/>
  <c r="I123" i="1"/>
  <c r="I210" i="1"/>
  <c r="I267" i="1"/>
  <c r="I158" i="1"/>
  <c r="I252" i="1"/>
  <c r="I85" i="1"/>
  <c r="I155" i="1"/>
  <c r="I52" i="1"/>
  <c r="I12" i="1"/>
  <c r="I268" i="1"/>
  <c r="I39" i="1"/>
  <c r="I281" i="1"/>
  <c r="I231" i="1"/>
  <c r="I84" i="1"/>
  <c r="I286" i="1"/>
  <c r="I152" i="1"/>
  <c r="I151" i="1"/>
  <c r="I149" i="1"/>
  <c r="I178" i="1"/>
  <c r="I170" i="1"/>
  <c r="I53" i="1"/>
  <c r="I7" i="1"/>
  <c r="I226" i="1"/>
  <c r="I118" i="1"/>
  <c r="I98" i="1"/>
  <c r="I18" i="1"/>
  <c r="I56" i="1"/>
  <c r="I203" i="1"/>
  <c r="I14" i="1"/>
  <c r="I287" i="1"/>
  <c r="I225" i="1"/>
  <c r="I22" i="1"/>
  <c r="I217" i="1"/>
  <c r="I294" i="1"/>
  <c r="I159" i="1"/>
  <c r="I75" i="1"/>
  <c r="I10" i="1"/>
  <c r="I59" i="1"/>
  <c r="I96" i="1"/>
  <c r="I103" i="1"/>
  <c r="I4" i="1"/>
  <c r="I187" i="1"/>
  <c r="I207" i="1"/>
  <c r="I251" i="1"/>
  <c r="I128" i="1"/>
  <c r="I49" i="1"/>
  <c r="I93" i="1"/>
  <c r="I164" i="1"/>
  <c r="I183" i="1"/>
  <c r="I288" i="1"/>
  <c r="I162" i="1"/>
  <c r="I106" i="1"/>
  <c r="I8" i="1"/>
  <c r="I282" i="1"/>
  <c r="I83" i="1"/>
  <c r="I254" i="1"/>
  <c r="I31" i="1"/>
  <c r="I79" i="1"/>
  <c r="I92" i="1"/>
  <c r="I270" i="1"/>
  <c r="I26" i="1"/>
  <c r="I206" i="1"/>
  <c r="I184" i="1"/>
  <c r="I9" i="1"/>
  <c r="I209" i="1"/>
  <c r="I250" i="1"/>
  <c r="I295" i="1"/>
  <c r="I148" i="1"/>
  <c r="I235" i="1"/>
  <c r="I137" i="1"/>
  <c r="I120" i="1"/>
  <c r="I50" i="1"/>
  <c r="I285" i="1"/>
  <c r="I143" i="1"/>
  <c r="I34" i="1"/>
  <c r="I63" i="1"/>
  <c r="I78" i="1"/>
  <c r="I33" i="1"/>
  <c r="I265" i="1"/>
  <c r="I20" i="1"/>
  <c r="I298" i="1"/>
  <c r="I219" i="1"/>
  <c r="I167" i="1"/>
  <c r="I113" i="1"/>
  <c r="I220" i="1"/>
  <c r="I214" i="1"/>
  <c r="I97" i="1"/>
  <c r="I290" i="1"/>
  <c r="I216" i="1"/>
  <c r="I256" i="1"/>
  <c r="I161" i="1"/>
  <c r="I60" i="1"/>
  <c r="I74" i="1"/>
  <c r="I264" i="1"/>
  <c r="I154" i="1"/>
  <c r="I201" i="1"/>
  <c r="I260" i="1"/>
  <c r="I101" i="1"/>
  <c r="I218" i="1"/>
  <c r="I236" i="1"/>
  <c r="I67" i="1"/>
  <c r="I2" i="1"/>
  <c r="I116" i="1"/>
  <c r="I204" i="1"/>
  <c r="I205" i="1"/>
  <c r="I229" i="1"/>
  <c r="I109" i="1"/>
  <c r="I111" i="1"/>
  <c r="I122" i="1"/>
  <c r="I272" i="1"/>
  <c r="I211" i="1"/>
  <c r="I146" i="1"/>
  <c r="I45" i="1"/>
  <c r="I117" i="1"/>
  <c r="I180" i="1"/>
  <c r="I185" i="1"/>
  <c r="I100" i="1"/>
  <c r="I150" i="1"/>
  <c r="I57" i="1"/>
  <c r="I72" i="1"/>
  <c r="I222" i="1"/>
  <c r="I232" i="1"/>
  <c r="I73" i="1"/>
  <c r="I238" i="1"/>
  <c r="I13" i="1"/>
  <c r="I115" i="1"/>
  <c r="I192" i="1"/>
  <c r="I107" i="1"/>
  <c r="I44" i="1"/>
  <c r="I244" i="1"/>
  <c r="I234" i="1"/>
  <c r="I176" i="1"/>
  <c r="G63" i="5"/>
  <c r="E7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10ACC4-F498-4301-9EF2-481C227C34D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<sst xmlns="http://schemas.openxmlformats.org/spreadsheetml/2006/main" count="1645" uniqueCount="595">
  <si>
    <t>Coin Name</t>
  </si>
  <si>
    <t>Symbol</t>
  </si>
  <si>
    <t>Price (USD)</t>
  </si>
  <si>
    <t>1h Change (%)</t>
  </si>
  <si>
    <t>Market Cap</t>
  </si>
  <si>
    <t>Volume (24h)</t>
  </si>
  <si>
    <t>Circulating Supply</t>
  </si>
  <si>
    <t>CoinMarketCap 20 Index DTF</t>
  </si>
  <si>
    <t>CMC20</t>
  </si>
  <si>
    <t>Bitcoin</t>
  </si>
  <si>
    <t>BTC</t>
  </si>
  <si>
    <t>Ethereum</t>
  </si>
  <si>
    <t>ETH</t>
  </si>
  <si>
    <t>Tether</t>
  </si>
  <si>
    <t>USDT</t>
  </si>
  <si>
    <t>BNB</t>
  </si>
  <si>
    <t>USDC</t>
  </si>
  <si>
    <t>XRP</t>
  </si>
  <si>
    <t>Solana</t>
  </si>
  <si>
    <t>SOL</t>
  </si>
  <si>
    <t>TRON</t>
  </si>
  <si>
    <t>TRX</t>
  </si>
  <si>
    <t>Hyperliquid</t>
  </si>
  <si>
    <t>HYPE</t>
  </si>
  <si>
    <t>Dogecoin</t>
  </si>
  <si>
    <t>DOGE</t>
  </si>
  <si>
    <t>UNUS SED LEO</t>
  </si>
  <si>
    <t>LEO</t>
  </si>
  <si>
    <t>Zcash</t>
  </si>
  <si>
    <t>ZEC</t>
  </si>
  <si>
    <t>Monero</t>
  </si>
  <si>
    <t>XMR</t>
  </si>
  <si>
    <t>Cardano</t>
  </si>
  <si>
    <t>ADA</t>
  </si>
  <si>
    <t>LayerZero</t>
  </si>
  <si>
    <t>ZRO</t>
  </si>
  <si>
    <t>AINFT</t>
  </si>
  <si>
    <t>NFT</t>
  </si>
  <si>
    <t>BitTorrent [New]</t>
  </si>
  <si>
    <t>BTT</t>
  </si>
  <si>
    <t>KAITO</t>
  </si>
  <si>
    <t>Jito</t>
  </si>
  <si>
    <t>JTO</t>
  </si>
  <si>
    <t>Bitcoin SV</t>
  </si>
  <si>
    <t>BSV</t>
  </si>
  <si>
    <t>Stacks</t>
  </si>
  <si>
    <t>STX</t>
  </si>
  <si>
    <t>Pendle</t>
  </si>
  <si>
    <t>PENDLE</t>
  </si>
  <si>
    <t>Monad</t>
  </si>
  <si>
    <t>MON</t>
  </si>
  <si>
    <t>Bonk</t>
  </si>
  <si>
    <t>BONK</t>
  </si>
  <si>
    <t>Decred</t>
  </si>
  <si>
    <t>DCR</t>
  </si>
  <si>
    <t>Conflux</t>
  </si>
  <si>
    <t>CFX</t>
  </si>
  <si>
    <t>Tezos</t>
  </si>
  <si>
    <t>XTZ</t>
  </si>
  <si>
    <t>JasmyCoin</t>
  </si>
  <si>
    <t>JASMY</t>
  </si>
  <si>
    <t>Immutable</t>
  </si>
  <si>
    <t>IMX</t>
  </si>
  <si>
    <t>Rain</t>
  </si>
  <si>
    <t>RAIN</t>
  </si>
  <si>
    <t>Decimal</t>
  </si>
  <si>
    <t>DEL</t>
  </si>
  <si>
    <t>Ondo US Dollar Yield</t>
  </si>
  <si>
    <t>USDY</t>
  </si>
  <si>
    <t>HTX</t>
  </si>
  <si>
    <t>Falcon USD</t>
  </si>
  <si>
    <t>USDf</t>
  </si>
  <si>
    <t>USDGO</t>
  </si>
  <si>
    <t>c8ntinuum</t>
  </si>
  <si>
    <t>CTM</t>
  </si>
  <si>
    <t>Jupiter Perps LP</t>
  </si>
  <si>
    <t>JLP</t>
  </si>
  <si>
    <t>Beldex</t>
  </si>
  <si>
    <t>BDX</t>
  </si>
  <si>
    <t>GHO</t>
  </si>
  <si>
    <t>Usual USD</t>
  </si>
  <si>
    <t>USD0</t>
  </si>
  <si>
    <t>Solstice USX</t>
  </si>
  <si>
    <t>USX</t>
  </si>
  <si>
    <t>USDai</t>
  </si>
  <si>
    <t>USDAI</t>
  </si>
  <si>
    <t>Unibase</t>
  </si>
  <si>
    <t>UB</t>
  </si>
  <si>
    <t>Ducky</t>
  </si>
  <si>
    <t>DUCKY</t>
  </si>
  <si>
    <t>Ravencoin</t>
  </si>
  <si>
    <t>RVN</t>
  </si>
  <si>
    <t>Pharos</t>
  </si>
  <si>
    <t>PROS</t>
  </si>
  <si>
    <t>Jelly-My-Jelly</t>
  </si>
  <si>
    <t>JELLYJELLY</t>
  </si>
  <si>
    <t>Billions Network</t>
  </si>
  <si>
    <t>BILL</t>
  </si>
  <si>
    <t>ZIGChain</t>
  </si>
  <si>
    <t>ZIG</t>
  </si>
  <si>
    <t>Baby Doge Coin</t>
  </si>
  <si>
    <t>BabyDoge</t>
  </si>
  <si>
    <t>Magma Finance</t>
  </si>
  <si>
    <t>MAGMA</t>
  </si>
  <si>
    <t>Kusama</t>
  </si>
  <si>
    <t>KSM</t>
  </si>
  <si>
    <t>Allora</t>
  </si>
  <si>
    <t>ALLO</t>
  </si>
  <si>
    <t>Turbo</t>
  </si>
  <si>
    <t>TURBO</t>
  </si>
  <si>
    <t>aPriori</t>
  </si>
  <si>
    <t>APR</t>
  </si>
  <si>
    <t>OpenLedger</t>
  </si>
  <si>
    <t>OPEN</t>
  </si>
  <si>
    <t>Nano</t>
  </si>
  <si>
    <t>XNO</t>
  </si>
  <si>
    <t>Theta Fuel</t>
  </si>
  <si>
    <t>TFUEL</t>
  </si>
  <si>
    <t>FUNToken</t>
  </si>
  <si>
    <t>FUN</t>
  </si>
  <si>
    <t>NVIDIA Tokenized Stock (Ondo)</t>
  </si>
  <si>
    <t>NVDAon</t>
  </si>
  <si>
    <t>Peanut the Squirrel</t>
  </si>
  <si>
    <t>PNUT</t>
  </si>
  <si>
    <t>Ronin</t>
  </si>
  <si>
    <t>RON</t>
  </si>
  <si>
    <t>BitDCA</t>
  </si>
  <si>
    <t>BDCA</t>
  </si>
  <si>
    <t>Threshold</t>
  </si>
  <si>
    <t>T</t>
  </si>
  <si>
    <t>Irys</t>
  </si>
  <si>
    <t>IRYS</t>
  </si>
  <si>
    <t>Mog Coin</t>
  </si>
  <si>
    <t>MOG</t>
  </si>
  <si>
    <t>Gemini Dollar</t>
  </si>
  <si>
    <t>GUSD</t>
  </si>
  <si>
    <t>Brett (Based)</t>
  </si>
  <si>
    <t>BRETT</t>
  </si>
  <si>
    <t>Creditcoin</t>
  </si>
  <si>
    <t>CTC</t>
  </si>
  <si>
    <t>Eurite</t>
  </si>
  <si>
    <t>EURI</t>
  </si>
  <si>
    <t>Orochi Network</t>
  </si>
  <si>
    <t>ON</t>
  </si>
  <si>
    <t>Celo</t>
  </si>
  <si>
    <t>CELO</t>
  </si>
  <si>
    <t>Tellor</t>
  </si>
  <si>
    <t>TRB</t>
  </si>
  <si>
    <t>Paycoin</t>
  </si>
  <si>
    <t>PCI</t>
  </si>
  <si>
    <t>Asteroid Shiba</t>
  </si>
  <si>
    <t>ASTEROID</t>
  </si>
  <si>
    <t>Nockchain</t>
  </si>
  <si>
    <t>NOCK</t>
  </si>
  <si>
    <t>Mango</t>
  </si>
  <si>
    <t>MNGO</t>
  </si>
  <si>
    <t>USDK</t>
  </si>
  <si>
    <t>Hims &amp; Hers Health Tokenized Stock (Ondo)</t>
  </si>
  <si>
    <t>HIMSon</t>
  </si>
  <si>
    <t>Wiki Cat</t>
  </si>
  <si>
    <t>WKC</t>
  </si>
  <si>
    <t>WINkLink</t>
  </si>
  <si>
    <t>WIN</t>
  </si>
  <si>
    <t>Siacoin</t>
  </si>
  <si>
    <t>SC</t>
  </si>
  <si>
    <t>Dusk</t>
  </si>
  <si>
    <t>DUSK</t>
  </si>
  <si>
    <t>Impossible Cloud Network</t>
  </si>
  <si>
    <t>ICNT</t>
  </si>
  <si>
    <t>Manta Network</t>
  </si>
  <si>
    <t>MANTA</t>
  </si>
  <si>
    <t>Semicon Bull 3X ETF Tokenized bStocks</t>
  </si>
  <si>
    <t>SOXLB</t>
  </si>
  <si>
    <t>Block Street</t>
  </si>
  <si>
    <t>BSB</t>
  </si>
  <si>
    <t>Bancor</t>
  </si>
  <si>
    <t>BNT</t>
  </si>
  <si>
    <t>Anoma</t>
  </si>
  <si>
    <t>XAN</t>
  </si>
  <si>
    <t>Illuvium</t>
  </si>
  <si>
    <t>ILV</t>
  </si>
  <si>
    <t>Somnia</t>
  </si>
  <si>
    <t>SOMI</t>
  </si>
  <si>
    <t>GMT</t>
  </si>
  <si>
    <t>Micron Tokenized Stock (Reality)</t>
  </si>
  <si>
    <t>rMU</t>
  </si>
  <si>
    <t>Chia</t>
  </si>
  <si>
    <t>XCH</t>
  </si>
  <si>
    <t>IoTeX</t>
  </si>
  <si>
    <t>IOTX</t>
  </si>
  <si>
    <t>MetaMask USD</t>
  </si>
  <si>
    <t>mUSD</t>
  </si>
  <si>
    <t>SanDisk Tokenized Stock (Reality)</t>
  </si>
  <si>
    <t>rSNDK</t>
  </si>
  <si>
    <t>Steem</t>
  </si>
  <si>
    <t>STEEM</t>
  </si>
  <si>
    <t>OpenAI
Pre-IPO stock (Republic)</t>
  </si>
  <si>
    <t>preOPAI</t>
  </si>
  <si>
    <t>Wibx</t>
  </si>
  <si>
    <t>WBX</t>
  </si>
  <si>
    <t>Sapien</t>
  </si>
  <si>
    <t>SAPIEN</t>
  </si>
  <si>
    <t>RollX</t>
  </si>
  <si>
    <t>ROLL</t>
  </si>
  <si>
    <t>TokenPocket</t>
  </si>
  <si>
    <t>TPT</t>
  </si>
  <si>
    <t>Ontology Gas</t>
  </si>
  <si>
    <t>ONG</t>
  </si>
  <si>
    <t>Infinex</t>
  </si>
  <si>
    <t>INX</t>
  </si>
  <si>
    <t>STBL</t>
  </si>
  <si>
    <t>Bless</t>
  </si>
  <si>
    <t>BLESS</t>
  </si>
  <si>
    <t>Fulcrom Finance</t>
  </si>
  <si>
    <t>FUL</t>
  </si>
  <si>
    <t>Araracoin</t>
  </si>
  <si>
    <t>ARARA</t>
  </si>
  <si>
    <t>Blast</t>
  </si>
  <si>
    <t>BLAST</t>
  </si>
  <si>
    <t>Velodrome Finance</t>
  </si>
  <si>
    <t>VELO</t>
  </si>
  <si>
    <t>WalletConnect Token</t>
  </si>
  <si>
    <t>WCT</t>
  </si>
  <si>
    <t>Marvell Technology Tokenized Stock (Ondo)</t>
  </si>
  <si>
    <t>MRVLon</t>
  </si>
  <si>
    <t>RIZE</t>
  </si>
  <si>
    <t>Humidifi</t>
  </si>
  <si>
    <t>WET</t>
  </si>
  <si>
    <t>TAC Protocol</t>
  </si>
  <si>
    <t>TAC</t>
  </si>
  <si>
    <t>Adshares</t>
  </si>
  <si>
    <t>ADS</t>
  </si>
  <si>
    <t>Yei Finance</t>
  </si>
  <si>
    <t>CLO</t>
  </si>
  <si>
    <t>GameBuild</t>
  </si>
  <si>
    <t>GAME</t>
  </si>
  <si>
    <t>Aurora</t>
  </si>
  <si>
    <t>AURORA</t>
  </si>
  <si>
    <t>Firo</t>
  </si>
  <si>
    <t>FIRO</t>
  </si>
  <si>
    <t>SoFi Technologies Tokenized Stock (Ondo)</t>
  </si>
  <si>
    <t>SOFIon</t>
  </si>
  <si>
    <t>Pythia</t>
  </si>
  <si>
    <t>PYTHIA</t>
  </si>
  <si>
    <t>Radworks</t>
  </si>
  <si>
    <t>RAD</t>
  </si>
  <si>
    <t>Metadium</t>
  </si>
  <si>
    <t>META</t>
  </si>
  <si>
    <t>Strategy Tokenized bStocks</t>
  </si>
  <si>
    <t>MSTRB</t>
  </si>
  <si>
    <t>USDB</t>
  </si>
  <si>
    <t>iShares Gold Trust Tokenized ETF (Ondo)</t>
  </si>
  <si>
    <t>IAUon</t>
  </si>
  <si>
    <t>OG Fan Token</t>
  </si>
  <si>
    <t>OG</t>
  </si>
  <si>
    <t>SaucerSwap</t>
  </si>
  <si>
    <t>SAUCE</t>
  </si>
  <si>
    <t>Orchid</t>
  </si>
  <si>
    <t>OXT</t>
  </si>
  <si>
    <t>Bitcoin Diamond</t>
  </si>
  <si>
    <t>BCD</t>
  </si>
  <si>
    <t>XSGD</t>
  </si>
  <si>
    <t>Tesla Tokenized bStocks</t>
  </si>
  <si>
    <t>TSLAB</t>
  </si>
  <si>
    <t>Hegic</t>
  </si>
  <si>
    <t>HEGIC</t>
  </si>
  <si>
    <t>Maverick Protocol</t>
  </si>
  <si>
    <t>MAV</t>
  </si>
  <si>
    <t>Nexa (nexaagent.xyz)</t>
  </si>
  <si>
    <t>NXA</t>
  </si>
  <si>
    <t>AITECH Cloud Network</t>
  </si>
  <si>
    <t>ACN</t>
  </si>
  <si>
    <t>Boba Network</t>
  </si>
  <si>
    <t>BOBA</t>
  </si>
  <si>
    <t>Clash of Lilliput</t>
  </si>
  <si>
    <t>COL</t>
  </si>
  <si>
    <t>Decentrawood</t>
  </si>
  <si>
    <t>DEOD</t>
  </si>
  <si>
    <t>Nebius Tokenized bStocks</t>
  </si>
  <si>
    <t>NBISB</t>
  </si>
  <si>
    <t>Dolomite</t>
  </si>
  <si>
    <t>DOLO</t>
  </si>
  <si>
    <t>Intuition</t>
  </si>
  <si>
    <t>TRUST</t>
  </si>
  <si>
    <t>KernelDAO</t>
  </si>
  <si>
    <t>KERNEL</t>
  </si>
  <si>
    <t>Ninja Squad Token</t>
  </si>
  <si>
    <t>NST</t>
  </si>
  <si>
    <t>Jimothy The Raccoon</t>
  </si>
  <si>
    <t>JIMOTHY</t>
  </si>
  <si>
    <t>Moonbeam</t>
  </si>
  <si>
    <t>GLMR</t>
  </si>
  <si>
    <t>Fartboy</t>
  </si>
  <si>
    <t>FARTBOY</t>
  </si>
  <si>
    <t>Drift</t>
  </si>
  <si>
    <t>DRIFT</t>
  </si>
  <si>
    <t>AS Roma Fan Token</t>
  </si>
  <si>
    <t>ASR</t>
  </si>
  <si>
    <t>Tradoor</t>
  </si>
  <si>
    <t>TRADOOR</t>
  </si>
  <si>
    <t>Applied Optoelectronics Tokenized bStocks</t>
  </si>
  <si>
    <t>AAOIB</t>
  </si>
  <si>
    <t>MyShell</t>
  </si>
  <si>
    <t>SHELL</t>
  </si>
  <si>
    <t>AVA</t>
  </si>
  <si>
    <t>SpaceX tokenized stock (Backpack)</t>
  </si>
  <si>
    <t>SPCX</t>
  </si>
  <si>
    <t>iShares MSCI Emerging Markets Tokenized ETF (Ondo)</t>
  </si>
  <si>
    <t>EEMon</t>
  </si>
  <si>
    <t>StablR Euro</t>
  </si>
  <si>
    <t>EURR</t>
  </si>
  <si>
    <t>Haedal Protocol</t>
  </si>
  <si>
    <t>HAEDAL</t>
  </si>
  <si>
    <t>Venus DAI</t>
  </si>
  <si>
    <t>vDAI</t>
  </si>
  <si>
    <t>DACXI</t>
  </si>
  <si>
    <t>DXI</t>
  </si>
  <si>
    <t>Balancer</t>
  </si>
  <si>
    <t>BAL</t>
  </si>
  <si>
    <t>Pepecoin</t>
  </si>
  <si>
    <t>PEP</t>
  </si>
  <si>
    <t>FC Barcelona Fan Token</t>
  </si>
  <si>
    <t>BAR</t>
  </si>
  <si>
    <t>Grove</t>
  </si>
  <si>
    <t>GROVE</t>
  </si>
  <si>
    <t>Layer3</t>
  </si>
  <si>
    <t>L3</t>
  </si>
  <si>
    <t>Hyperion</t>
  </si>
  <si>
    <t>RION</t>
  </si>
  <si>
    <t>RACA</t>
  </si>
  <si>
    <t>Tradr 2X Long SNDK ETF Tokenized bStocks</t>
  </si>
  <si>
    <t>SNXXB</t>
  </si>
  <si>
    <t>MAP Protocol</t>
  </si>
  <si>
    <t>MAPO</t>
  </si>
  <si>
    <t>SymVerse (symverse.org)</t>
  </si>
  <si>
    <t>SYMM</t>
  </si>
  <si>
    <t>Elastos</t>
  </si>
  <si>
    <t>ELA</t>
  </si>
  <si>
    <t>Mamo</t>
  </si>
  <si>
    <t>MAMO</t>
  </si>
  <si>
    <t>Broadcom Tokenized Stock (Ondo)</t>
  </si>
  <si>
    <t>AVGOon</t>
  </si>
  <si>
    <t>Alltoscan</t>
  </si>
  <si>
    <t>ATS</t>
  </si>
  <si>
    <t>Treehouse</t>
  </si>
  <si>
    <t>TREE</t>
  </si>
  <si>
    <t>Bitlight</t>
  </si>
  <si>
    <t>LIGHT</t>
  </si>
  <si>
    <t>Utrust</t>
  </si>
  <si>
    <t>UTK</t>
  </si>
  <si>
    <t>Save</t>
  </si>
  <si>
    <t>SAVE</t>
  </si>
  <si>
    <t>Edel</t>
  </si>
  <si>
    <t>EDEL</t>
  </si>
  <si>
    <t>Viction</t>
  </si>
  <si>
    <t>VIC</t>
  </si>
  <si>
    <t>MAGIC•INTERNET•MONEY (Bitcoin)</t>
  </si>
  <si>
    <t>MIM</t>
  </si>
  <si>
    <t>Lockheed Tokenized Stock (Ondo)</t>
  </si>
  <si>
    <t>LMTon</t>
  </si>
  <si>
    <t>Lingo</t>
  </si>
  <si>
    <t>LINGO</t>
  </si>
  <si>
    <t>NEM</t>
  </si>
  <si>
    <t>XEM</t>
  </si>
  <si>
    <t>MonaCoin</t>
  </si>
  <si>
    <t>MONA</t>
  </si>
  <si>
    <t>Bytecoin</t>
  </si>
  <si>
    <t>BCN</t>
  </si>
  <si>
    <t>AIVille Governance Token</t>
  </si>
  <si>
    <t>AIV</t>
  </si>
  <si>
    <t>RSS3</t>
  </si>
  <si>
    <t>HOPR</t>
  </si>
  <si>
    <t>Galeon</t>
  </si>
  <si>
    <t>GALEON</t>
  </si>
  <si>
    <t>ARAI</t>
  </si>
  <si>
    <t>AA</t>
  </si>
  <si>
    <t>CateCoin</t>
  </si>
  <si>
    <t>CATE</t>
  </si>
  <si>
    <t>PlatON</t>
  </si>
  <si>
    <t>LAT</t>
  </si>
  <si>
    <t>Ampleforth Governance Token</t>
  </si>
  <si>
    <t>FORTH</t>
  </si>
  <si>
    <t>VitaDAO</t>
  </si>
  <si>
    <t>VITA</t>
  </si>
  <si>
    <t>Roundhill Memory ETF Tokenized ETF (Ondo)</t>
  </si>
  <si>
    <t>DRAMon</t>
  </si>
  <si>
    <t>AST SpaceMobile Tokenized Stock (Ondo)</t>
  </si>
  <si>
    <t>ASTSon</t>
  </si>
  <si>
    <t>Ren</t>
  </si>
  <si>
    <t>REN</t>
  </si>
  <si>
    <t>World3</t>
  </si>
  <si>
    <t>WAI</t>
  </si>
  <si>
    <t>Marina Protocol</t>
  </si>
  <si>
    <t>BAY</t>
  </si>
  <si>
    <t>Djed</t>
  </si>
  <si>
    <t>DJED</t>
  </si>
  <si>
    <t>Alibaba Tokenized Stock (Ondo)</t>
  </si>
  <si>
    <t>BABAon</t>
  </si>
  <si>
    <t>CESS Network</t>
  </si>
  <si>
    <t>CESS</t>
  </si>
  <si>
    <t>GAIB</t>
  </si>
  <si>
    <t>Gems</t>
  </si>
  <si>
    <t>GEMS</t>
  </si>
  <si>
    <t>Advanced Micro Devices Tokenized bStocks</t>
  </si>
  <si>
    <t>AMDB</t>
  </si>
  <si>
    <t>Odos</t>
  </si>
  <si>
    <t>ODOS</t>
  </si>
  <si>
    <t>Purple Pepe</t>
  </si>
  <si>
    <t>$PURPE</t>
  </si>
  <si>
    <t>PeiPei (ETH)</t>
  </si>
  <si>
    <t>PEIPEI</t>
  </si>
  <si>
    <t>Suku</t>
  </si>
  <si>
    <t>SUKU</t>
  </si>
  <si>
    <t>IMPT</t>
  </si>
  <si>
    <t>Book of Ethereum</t>
  </si>
  <si>
    <t>BOOE</t>
  </si>
  <si>
    <t>Forest Protocol</t>
  </si>
  <si>
    <t>FOREST</t>
  </si>
  <si>
    <t>Meta Tokenized Stock (Reality)</t>
  </si>
  <si>
    <t>rMETA</t>
  </si>
  <si>
    <t>Not Pixel</t>
  </si>
  <si>
    <t>PX</t>
  </si>
  <si>
    <t>VOOI</t>
  </si>
  <si>
    <t>MATH</t>
  </si>
  <si>
    <t>GOLDAO</t>
  </si>
  <si>
    <t>Aleph Zero</t>
  </si>
  <si>
    <t>AZERO</t>
  </si>
  <si>
    <t>Vara Network</t>
  </si>
  <si>
    <t>VARA</t>
  </si>
  <si>
    <t>EarthMeta</t>
  </si>
  <si>
    <t>EMT</t>
  </si>
  <si>
    <t>Tectum</t>
  </si>
  <si>
    <t>TET</t>
  </si>
  <si>
    <t>Bellscoin</t>
  </si>
  <si>
    <t>BELLS</t>
  </si>
  <si>
    <t>DOWGE</t>
  </si>
  <si>
    <t>DJI6930</t>
  </si>
  <si>
    <t>Flying Tulip</t>
  </si>
  <si>
    <t>FT</t>
  </si>
  <si>
    <t>TSMC Tokenized Stock (Reality)</t>
  </si>
  <si>
    <t>rTSM</t>
  </si>
  <si>
    <t>AXT Tokenized bStocks</t>
  </si>
  <si>
    <t>AXTIB</t>
  </si>
  <si>
    <t>ProShares UltraPro QQQ Tokenized bStocks</t>
  </si>
  <si>
    <t>TQQQB</t>
  </si>
  <si>
    <t>Numbers Protocol</t>
  </si>
  <si>
    <t>NUM</t>
  </si>
  <si>
    <t>Alibaba Tokenized bStocks</t>
  </si>
  <si>
    <t>BABAB</t>
  </si>
  <si>
    <t>Qualcomm Tokenized bStocks</t>
  </si>
  <si>
    <t>QCOMB</t>
  </si>
  <si>
    <t>Streamflow</t>
  </si>
  <si>
    <t>STREAM</t>
  </si>
  <si>
    <t>WYDE: End Hunger</t>
  </si>
  <si>
    <t>EAT</t>
  </si>
  <si>
    <t>LIBRA</t>
  </si>
  <si>
    <t>Sharp</t>
  </si>
  <si>
    <t>SHARP</t>
  </si>
  <si>
    <t>Jesus Coin</t>
  </si>
  <si>
    <t>JESUS</t>
  </si>
  <si>
    <t>Humans.ai</t>
  </si>
  <si>
    <t>HEART</t>
  </si>
  <si>
    <t>BORGY</t>
  </si>
  <si>
    <t>Vertical AI</t>
  </si>
  <si>
    <t>VERTAI</t>
  </si>
  <si>
    <t>KiboShib</t>
  </si>
  <si>
    <t>KIBSHI</t>
  </si>
  <si>
    <t>Bitcicoin</t>
  </si>
  <si>
    <t>BITCI</t>
  </si>
  <si>
    <t>Coinbase Tokenized Stock (Reality)</t>
  </si>
  <si>
    <t>rCOIN</t>
  </si>
  <si>
    <t>Dora Factory</t>
  </si>
  <si>
    <t>DORA</t>
  </si>
  <si>
    <t>BioPassport Token</t>
  </si>
  <si>
    <t>BIOT</t>
  </si>
  <si>
    <t>toyow</t>
  </si>
  <si>
    <t>TTN</t>
  </si>
  <si>
    <t>Argentine Football Association Fan Token</t>
  </si>
  <si>
    <t>ARG</t>
  </si>
  <si>
    <t>Xterio</t>
  </si>
  <si>
    <t>XTER</t>
  </si>
  <si>
    <t>Reserve AI Infrastructure Tokenized DTF</t>
  </si>
  <si>
    <t>BUILDOUT</t>
  </si>
  <si>
    <t>MIA</t>
  </si>
  <si>
    <t>HI</t>
  </si>
  <si>
    <t>Reserve AI Photonics Tokenized DTF</t>
  </si>
  <si>
    <t>PHOTON</t>
  </si>
  <si>
    <t>Rarible</t>
  </si>
  <si>
    <t>RARI</t>
  </si>
  <si>
    <t>GALAXIA</t>
  </si>
  <si>
    <t>GXA</t>
  </si>
  <si>
    <t>Wells Fargo Tokenized Stock (Ondo)</t>
  </si>
  <si>
    <t>WFCon</t>
  </si>
  <si>
    <t>Real Briefly</t>
  </si>
  <si>
    <t>REAL</t>
  </si>
  <si>
    <t>Tenset</t>
  </si>
  <si>
    <t>10SET</t>
  </si>
  <si>
    <t>Mastercard Tokenized Stock (Ondo)</t>
  </si>
  <si>
    <t>MAon</t>
  </si>
  <si>
    <t>Chamber</t>
  </si>
  <si>
    <t>DHT</t>
  </si>
  <si>
    <t>Defactor</t>
  </si>
  <si>
    <t>Tottenham Hotspur Fan Token</t>
  </si>
  <si>
    <t>SPURS</t>
  </si>
  <si>
    <t>Make Aliens Great Again</t>
  </si>
  <si>
    <t>MAGA</t>
  </si>
  <si>
    <t>Perpetual Protocol</t>
  </si>
  <si>
    <t>PERP</t>
  </si>
  <si>
    <t>The White Whale</t>
  </si>
  <si>
    <t>WHITEWHALE</t>
  </si>
  <si>
    <t>GemHUB</t>
  </si>
  <si>
    <t>GHUB</t>
  </si>
  <si>
    <t>RENEC</t>
  </si>
  <si>
    <t>ShibaDoge</t>
  </si>
  <si>
    <t>SHIBDOGE</t>
  </si>
  <si>
    <t>Cypherium</t>
  </si>
  <si>
    <t>CPH</t>
  </si>
  <si>
    <t>Adappter Token</t>
  </si>
  <si>
    <t>ADP</t>
  </si>
  <si>
    <t>Hoge Finance</t>
  </si>
  <si>
    <t>HOGE</t>
  </si>
  <si>
    <t>POOH</t>
  </si>
  <si>
    <t>Portugal National Team Fan Token</t>
  </si>
  <si>
    <t>POR</t>
  </si>
  <si>
    <t>Saros</t>
  </si>
  <si>
    <t>SAROS</t>
  </si>
  <si>
    <t>Hachiko</t>
  </si>
  <si>
    <t>$HACHI</t>
  </si>
  <si>
    <t>HashAI</t>
  </si>
  <si>
    <t>HASHAI</t>
  </si>
  <si>
    <t>HyperGPT</t>
  </si>
  <si>
    <t>HGPT</t>
  </si>
  <si>
    <t>UNCX Network</t>
  </si>
  <si>
    <t>UNCX</t>
  </si>
  <si>
    <t>Radiant</t>
  </si>
  <si>
    <t>RXD</t>
  </si>
  <si>
    <t>LayerX</t>
  </si>
  <si>
    <t>LX</t>
  </si>
  <si>
    <t>Bloom Energy Tokenized bStocks</t>
  </si>
  <si>
    <t>BEB</t>
  </si>
  <si>
    <t>Hoppy (hoppy.vip)</t>
  </si>
  <si>
    <t>HOPPY</t>
  </si>
  <si>
    <t>Nietzschean Penguin</t>
  </si>
  <si>
    <t>PENGUIN</t>
  </si>
  <si>
    <t>NuNet</t>
  </si>
  <si>
    <t>NTX</t>
  </si>
  <si>
    <t>GameFi.org</t>
  </si>
  <si>
    <t>GAFI</t>
  </si>
  <si>
    <t>Lit Protocol</t>
  </si>
  <si>
    <t>LITKEY</t>
  </si>
  <si>
    <t>CatSlap</t>
  </si>
  <si>
    <t>SLAP</t>
  </si>
  <si>
    <t>DeepBrain Chain</t>
  </si>
  <si>
    <t>DBC</t>
  </si>
  <si>
    <t>Rocket Lab Tokenized bStocks</t>
  </si>
  <si>
    <t>RKLBB</t>
  </si>
  <si>
    <t>ScPrime</t>
  </si>
  <si>
    <t>SCP</t>
  </si>
  <si>
    <t>DeepNode</t>
  </si>
  <si>
    <t>DN</t>
  </si>
  <si>
    <t>SideShift Token</t>
  </si>
  <si>
    <t>XAI</t>
  </si>
  <si>
    <t>Amazon Tokenized bStocks</t>
  </si>
  <si>
    <t>AMZNB</t>
  </si>
  <si>
    <t>HODL</t>
  </si>
  <si>
    <t>OpenGPU</t>
  </si>
  <si>
    <t>OGPU</t>
  </si>
  <si>
    <t>GraniteShares 2X Long MRVL ETF Tokenized bStocks</t>
  </si>
  <si>
    <t>MVLLB</t>
  </si>
  <si>
    <t>Blocksquare Token</t>
  </si>
  <si>
    <t>BST</t>
  </si>
  <si>
    <t>Sportbet.one Token</t>
  </si>
  <si>
    <t>SBET</t>
  </si>
  <si>
    <t>ShareToken</t>
  </si>
  <si>
    <t>SHR</t>
  </si>
  <si>
    <t>NanoByte Token</t>
  </si>
  <si>
    <t>NBT</t>
  </si>
  <si>
    <t>Doller Volume per Supply</t>
  </si>
  <si>
    <t xml:space="preserve">Rank </t>
  </si>
  <si>
    <t>Price range</t>
  </si>
  <si>
    <t>Row Labels</t>
  </si>
  <si>
    <t>Grand Total</t>
  </si>
  <si>
    <t>Sum of Price (USD)</t>
  </si>
  <si>
    <t>Sum of 1h Change (%)</t>
  </si>
  <si>
    <t>Sum of Circulating Supply</t>
  </si>
  <si>
    <t>Sum of Doller Volume per Supply</t>
  </si>
  <si>
    <t>Sum of Market Cap</t>
  </si>
  <si>
    <t>others</t>
  </si>
  <si>
    <t>grand total</t>
  </si>
  <si>
    <t>key performance indicators</t>
  </si>
  <si>
    <t>total markrt cap</t>
  </si>
  <si>
    <t>total price of coins</t>
  </si>
  <si>
    <t>highest price coin</t>
  </si>
  <si>
    <t>highets price</t>
  </si>
  <si>
    <t>total Circulating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</si>
</sst>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xf numFmtId="0" fontId="0" fillId="3" borderId="0" xfId="0" applyFill="1"/>
    <xf numFmtId="0" fontId="0" fillId="3" borderId="0" xfId="0" applyFill="1" applyAlignment="1">
      <alignment horizontal="left"/>
    </xf>
    <xf numFmtId="0" fontId="0" fillId="3" borderId="0" xfId="0" applyNumberFormat="1" applyFill="1"/>
    <xf numFmtId="0" fontId="0" fillId="3" borderId="0" xfId="0" applyFill="1" applyAlignment="1">
      <alignment horizontal="left" indent="1"/>
    </xf>
    <xf numFmtId="0" fontId="0" fillId="4" borderId="0" xfId="0" applyFill="1"/>
    <xf numFmtId="0" fontId="0" fillId="2" borderId="2" xfId="0" applyFill="1" applyBorder="1"/>
    <xf numFmtId="0" fontId="0" fillId="0" borderId="1" xfId="0" applyBorder="1"/>
  </cellXfs>
  <cellStyles count="1">
    <cellStyle name="Normal" xfId="0" builtinId="0"/>
  </cellStyles>
  <dxfs count="571">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9" defaultPivotStyle="PivotStyleLight16"/>
  <colors>
    <mruColors>
      <color rgb="FFFFFFFF"/>
      <color rgb="FF88927A"/>
      <color rgb="FFA5F3E0"/>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Top 10 coins by price</a:t>
            </a:r>
          </a:p>
        </c:rich>
      </c:tx>
      <c:layout>
        <c:manualLayout>
          <c:xMode val="edge"/>
          <c:yMode val="edge"/>
          <c:x val="0.36838008530183725"/>
          <c:y val="2.412545235223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solidFill>
              <a:schemeClr val="accent1"/>
            </a:solidFill>
            <a:ln>
              <a:noFill/>
            </a:ln>
            <a:effectLst/>
          </c:spPr>
          <c:invertIfNegative val="0"/>
          <c:cat>
            <c:strRef>
              <c:f>Sheet1!$A$3:$A$13</c:f>
              <c:strCache>
                <c:ptCount val="10"/>
                <c:pt idx="0">
                  <c:v>Advanced Micro Devices Tokenized bStocks</c:v>
                </c:pt>
                <c:pt idx="1">
                  <c:v>Bitcoin</c:v>
                </c:pt>
                <c:pt idx="2">
                  <c:v>BNB</c:v>
                </c:pt>
                <c:pt idx="3">
                  <c:v>Ethereum</c:v>
                </c:pt>
                <c:pt idx="4">
                  <c:v>Lockheed Tokenized Stock (Ondo)</c:v>
                </c:pt>
                <c:pt idx="5">
                  <c:v>Mastercard Tokenized Stock (Ondo)</c:v>
                </c:pt>
                <c:pt idx="6">
                  <c:v>Meta Tokenized Stock (Reality)</c:v>
                </c:pt>
                <c:pt idx="7">
                  <c:v>Micron Tokenized Stock (Reality)</c:v>
                </c:pt>
                <c:pt idx="8">
                  <c:v>OpenAI
Pre-IPO stock (Republic)</c:v>
                </c:pt>
                <c:pt idx="9">
                  <c:v>SanDisk Tokenized Stock (Reality)</c:v>
                </c:pt>
              </c:strCache>
            </c:strRef>
          </c:cat>
          <c:val>
            <c:numRef>
              <c:f>Sheet1!$B$3:$B$13</c:f>
              <c:numCache>
                <c:formatCode>General</c:formatCode>
                <c:ptCount val="10"/>
                <c:pt idx="0">
                  <c:v>479.08</c:v>
                </c:pt>
                <c:pt idx="1">
                  <c:v>62905.02</c:v>
                </c:pt>
                <c:pt idx="2">
                  <c:v>586.66999999999996</c:v>
                </c:pt>
                <c:pt idx="3">
                  <c:v>1861.07</c:v>
                </c:pt>
                <c:pt idx="4">
                  <c:v>592.08000000000004</c:v>
                </c:pt>
                <c:pt idx="5">
                  <c:v>575.01</c:v>
                </c:pt>
                <c:pt idx="6">
                  <c:v>554.79999999999995</c:v>
                </c:pt>
                <c:pt idx="7">
                  <c:v>819.57</c:v>
                </c:pt>
                <c:pt idx="8">
                  <c:v>697.68</c:v>
                </c:pt>
                <c:pt idx="9">
                  <c:v>1211.4100000000001</c:v>
                </c:pt>
              </c:numCache>
            </c:numRef>
          </c:val>
          <c:extLst>
            <c:ext xmlns:c16="http://schemas.microsoft.com/office/drawing/2014/chart" uri="{C3380CC4-5D6E-409C-BE32-E72D297353CC}">
              <c16:uniqueId val="{00000000-5D47-4B1E-B6EE-CAA20FD9D172}"/>
            </c:ext>
          </c:extLst>
        </c:ser>
        <c:dLbls>
          <c:showLegendKey val="0"/>
          <c:showVal val="0"/>
          <c:showCatName val="0"/>
          <c:showSerName val="0"/>
          <c:showPercent val="0"/>
          <c:showBubbleSize val="0"/>
        </c:dLbls>
        <c:gapWidth val="219"/>
        <c:overlap val="-27"/>
        <c:axId val="340664063"/>
        <c:axId val="342679791"/>
      </c:barChart>
      <c:catAx>
        <c:axId val="3406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79791"/>
        <c:crosses val="autoZero"/>
        <c:auto val="1"/>
        <c:lblAlgn val="ctr"/>
        <c:lblOffset val="100"/>
        <c:noMultiLvlLbl val="0"/>
      </c:catAx>
      <c:valAx>
        <c:axId val="34267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66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extLst>
        <a:ext uri="{C807C97D-BFC1-408E-A445-0C87EB9F89A2}">
          <ask:lineSketchStyleProps xmlns:ask="http://schemas.microsoft.com/office/drawing/2018/sketchyshapes">
            <ask:type>
              <ask:lineSketchNone/>
            </ask:type>
          </ask:lineSketchStyleProps>
        </a:ext>
      </a:extLst>
    </a:ln>
    <a:effectLst>
      <a:innerShdw blurRad="114300">
        <a:schemeClr val="bg2">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[crypto_Analysis_Dashboard.xlsx]Sheet1!PivotTable3</c:name>
    <c:fmtId val="6"/>
  </c:pivotSource>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b="1">
                <a:solidFill>
                  <a:schemeClr val="accent6"/>
                </a:solidFill>
              </a:rPr>
              <a:t>Most changes in 1 hour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Sheet1!$B$37</c:f>
              <c:strCache>
                <c:ptCount val="1"/>
                <c:pt idx="0">
                  <c:v>Total</c:v>
                </c:pt>
              </c:strCache>
            </c:strRef>
          </c:tx>
          <c:spPr>
            <a:solidFill>
              <a:schemeClr val="accent1"/>
            </a:solidFill>
            <a:ln>
              <a:noFill/>
            </a:ln>
            <a:effectLst/>
          </c:spPr>
          <c:invertIfNegative val="0"/>
          <c:cat>
            <c:strRef>
              <c:f>Sheet1!$A$38:$A$48</c:f>
              <c:strCache>
                <c:ptCount val="10"/>
                <c:pt idx="0">
                  <c:v>Ampleforth Governance Token</c:v>
                </c:pt>
                <c:pt idx="1">
                  <c:v>Asteroid Shiba</c:v>
                </c:pt>
                <c:pt idx="2">
                  <c:v>GALAXIA</c:v>
                </c:pt>
                <c:pt idx="3">
                  <c:v>Hachiko</c:v>
                </c:pt>
                <c:pt idx="4">
                  <c:v>Make Aliens Great Again</c:v>
                </c:pt>
                <c:pt idx="5">
                  <c:v>NanoByte Token</c:v>
                </c:pt>
                <c:pt idx="6">
                  <c:v>Odos</c:v>
                </c:pt>
                <c:pt idx="7">
                  <c:v>Orchid</c:v>
                </c:pt>
                <c:pt idx="8">
                  <c:v>RIZE</c:v>
                </c:pt>
                <c:pt idx="9">
                  <c:v>UNCX Network</c:v>
                </c:pt>
              </c:strCache>
            </c:strRef>
          </c:cat>
          <c:val>
            <c:numRef>
              <c:f>Sheet1!$B$38:$B$48</c:f>
              <c:numCache>
                <c:formatCode>General</c:formatCode>
                <c:ptCount val="10"/>
                <c:pt idx="0">
                  <c:v>5.57</c:v>
                </c:pt>
                <c:pt idx="1">
                  <c:v>4.53</c:v>
                </c:pt>
                <c:pt idx="2">
                  <c:v>9.1999999999999993</c:v>
                </c:pt>
                <c:pt idx="3">
                  <c:v>3.39</c:v>
                </c:pt>
                <c:pt idx="4">
                  <c:v>5.66</c:v>
                </c:pt>
                <c:pt idx="5">
                  <c:v>4.4800000000000004</c:v>
                </c:pt>
                <c:pt idx="6">
                  <c:v>3.85</c:v>
                </c:pt>
                <c:pt idx="7">
                  <c:v>3.06</c:v>
                </c:pt>
                <c:pt idx="8">
                  <c:v>4.3499999999999996</c:v>
                </c:pt>
                <c:pt idx="9">
                  <c:v>16.46</c:v>
                </c:pt>
              </c:numCache>
            </c:numRef>
          </c:val>
          <c:extLst>
            <c:ext xmlns:c16="http://schemas.microsoft.com/office/drawing/2014/chart" uri="{C3380CC4-5D6E-409C-BE32-E72D297353CC}">
              <c16:uniqueId val="{00000000-71B4-49DA-ACD3-F6AA24A1330B}"/>
            </c:ext>
          </c:extLst>
        </c:ser>
        <c:dLbls>
          <c:showLegendKey val="0"/>
          <c:showVal val="0"/>
          <c:showCatName val="0"/>
          <c:showSerName val="0"/>
          <c:showPercent val="0"/>
          <c:showBubbleSize val="0"/>
        </c:dLbls>
        <c:gapWidth val="219"/>
        <c:axId val="553915567"/>
        <c:axId val="1165398063"/>
      </c:barChart>
      <c:catAx>
        <c:axId val="55391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398063"/>
        <c:crosses val="autoZero"/>
        <c:auto val="1"/>
        <c:lblAlgn val="ctr"/>
        <c:lblOffset val="100"/>
        <c:noMultiLvlLbl val="0"/>
      </c:catAx>
      <c:valAx>
        <c:axId val="116539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1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[crypto_Analysis_Dashboard.xlsx]pivote_chats!PivotTable9</c:name>
    <c:fmtId val="0"/>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b="1">
                <a:solidFill>
                  <a:srgbClr val="7030A0"/>
                </a:solidFill>
              </a:rPr>
              <a:t>Top 10 coins by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pivote_chats!$B$2</c:f>
              <c:strCache>
                <c:ptCount val="1"/>
                <c:pt idx="0">
                  <c:v>Total</c:v>
                </c:pt>
              </c:strCache>
            </c:strRef>
          </c:tx>
          <c:spPr>
            <a:solidFill>
              <a:schemeClr val="accent1"/>
            </a:solidFill>
            <a:ln>
              <a:noFill/>
            </a:ln>
            <a:effectLst/>
          </c:spPr>
          <c:invertIfNegative val="0"/>
          <c:cat>
            <c:strRef>
              <c:f>pivote_chats!$A$3:$A$13</c:f>
              <c:strCache>
                <c:ptCount val="10"/>
                <c:pt idx="0">
                  <c:v>Advanced Micro Devices Tokenized bStocks</c:v>
                </c:pt>
                <c:pt idx="1">
                  <c:v>Bitcoin</c:v>
                </c:pt>
                <c:pt idx="2">
                  <c:v>BNB</c:v>
                </c:pt>
                <c:pt idx="3">
                  <c:v>Ethereum</c:v>
                </c:pt>
                <c:pt idx="4">
                  <c:v>Lockheed Tokenized Stock (Ondo)</c:v>
                </c:pt>
                <c:pt idx="5">
                  <c:v>Mastercard Tokenized Stock (Ondo)</c:v>
                </c:pt>
                <c:pt idx="6">
                  <c:v>Meta Tokenized Stock (Reality)</c:v>
                </c:pt>
                <c:pt idx="7">
                  <c:v>Micron Tokenized Stock (Reality)</c:v>
                </c:pt>
                <c:pt idx="8">
                  <c:v>OpenAI
Pre-IPO stock (Republic)</c:v>
                </c:pt>
                <c:pt idx="9">
                  <c:v>SanDisk Tokenized Stock (Reality)</c:v>
                </c:pt>
              </c:strCache>
            </c:strRef>
          </c:cat>
          <c:val>
            <c:numRef>
              <c:f>pivote_chats!$B$3:$B$13</c:f>
              <c:numCache>
                <c:formatCode>General</c:formatCode>
                <c:ptCount val="10"/>
                <c:pt idx="0">
                  <c:v>479.08</c:v>
                </c:pt>
                <c:pt idx="1">
                  <c:v>62905.02</c:v>
                </c:pt>
                <c:pt idx="2">
                  <c:v>586.66999999999996</c:v>
                </c:pt>
                <c:pt idx="3">
                  <c:v>1861.07</c:v>
                </c:pt>
                <c:pt idx="4">
                  <c:v>592.08000000000004</c:v>
                </c:pt>
                <c:pt idx="5">
                  <c:v>575.01</c:v>
                </c:pt>
                <c:pt idx="6">
                  <c:v>554.79999999999995</c:v>
                </c:pt>
                <c:pt idx="7">
                  <c:v>819.57</c:v>
                </c:pt>
                <c:pt idx="8">
                  <c:v>697.68</c:v>
                </c:pt>
                <c:pt idx="9">
                  <c:v>1211.4100000000001</c:v>
                </c:pt>
              </c:numCache>
            </c:numRef>
          </c:val>
          <c:extLst>
            <c:ext xmlns:c16="http://schemas.microsoft.com/office/drawing/2014/chart" uri="{C3380CC4-5D6E-409C-BE32-E72D297353CC}">
              <c16:uniqueId val="{00000000-5567-4888-BC55-26C1E824EE81}"/>
            </c:ext>
          </c:extLst>
        </c:ser>
        <c:dLbls>
          <c:showLegendKey val="0"/>
          <c:showVal val="0"/>
          <c:showCatName val="0"/>
          <c:showSerName val="0"/>
          <c:showPercent val="0"/>
          <c:showBubbleSize val="0"/>
        </c:dLbls>
        <c:gapWidth val="219"/>
        <c:overlap val="-27"/>
        <c:axId val="662385487"/>
        <c:axId val="1165383663"/>
      </c:barChart>
      <c:catAx>
        <c:axId val="66238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383663"/>
        <c:crosses val="autoZero"/>
        <c:auto val="1"/>
        <c:lblAlgn val="ctr"/>
        <c:lblOffset val="100"/>
        <c:noMultiLvlLbl val="0"/>
      </c:catAx>
      <c:valAx>
        <c:axId val="116538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38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a:glow rad="101600">
        <a:schemeClr val="accent3">
          <a:satMod val="175000"/>
          <a:alpha val="40000"/>
        </a:schemeClr>
      </a:glow>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[crypto_Analysis_Dashboard.xlsx]pivote_chats!PivotTable10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7030A0"/>
                </a:solidFill>
              </a:rPr>
              <a:t>Most changes in 1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pivote_chats!$B$20</c:f>
              <c:strCache>
                <c:ptCount val="1"/>
                <c:pt idx="0">
                  <c:v>Total</c:v>
                </c:pt>
              </c:strCache>
            </c:strRef>
          </c:tx>
          <c:spPr>
            <a:solidFill>
              <a:schemeClr val="accent1"/>
            </a:solidFill>
            <a:ln>
              <a:noFill/>
            </a:ln>
            <a:effectLst/>
          </c:spPr>
          <c:invertIfNegative val="0"/>
          <c:cat>
            <c:strRef>
              <c:f>pivote_chats!$A$21:$A$31</c:f>
              <c:strCache>
                <c:ptCount val="10"/>
                <c:pt idx="0">
                  <c:v>Ampleforth Governance Token</c:v>
                </c:pt>
                <c:pt idx="1">
                  <c:v>Asteroid Shiba</c:v>
                </c:pt>
                <c:pt idx="2">
                  <c:v>GALAXIA</c:v>
                </c:pt>
                <c:pt idx="3">
                  <c:v>Hachiko</c:v>
                </c:pt>
                <c:pt idx="4">
                  <c:v>Make Aliens Great Again</c:v>
                </c:pt>
                <c:pt idx="5">
                  <c:v>NanoByte Token</c:v>
                </c:pt>
                <c:pt idx="6">
                  <c:v>Odos</c:v>
                </c:pt>
                <c:pt idx="7">
                  <c:v>Orchid</c:v>
                </c:pt>
                <c:pt idx="8">
                  <c:v>RIZE</c:v>
                </c:pt>
                <c:pt idx="9">
                  <c:v>UNCX Network</c:v>
                </c:pt>
              </c:strCache>
            </c:strRef>
          </c:cat>
          <c:val>
            <c:numRef>
              <c:f>pivote_chats!$B$21:$B$31</c:f>
              <c:numCache>
                <c:formatCode>General</c:formatCode>
                <c:ptCount val="10"/>
                <c:pt idx="0">
                  <c:v>5.57</c:v>
                </c:pt>
                <c:pt idx="1">
                  <c:v>4.53</c:v>
                </c:pt>
                <c:pt idx="2">
                  <c:v>9.1999999999999993</c:v>
                </c:pt>
                <c:pt idx="3">
                  <c:v>3.39</c:v>
                </c:pt>
                <c:pt idx="4">
                  <c:v>5.66</c:v>
                </c:pt>
                <c:pt idx="5">
                  <c:v>4.4800000000000004</c:v>
                </c:pt>
                <c:pt idx="6">
                  <c:v>3.85</c:v>
                </c:pt>
                <c:pt idx="7">
                  <c:v>3.06</c:v>
                </c:pt>
                <c:pt idx="8">
                  <c:v>4.3499999999999996</c:v>
                </c:pt>
                <c:pt idx="9">
                  <c:v>16.46</c:v>
                </c:pt>
              </c:numCache>
            </c:numRef>
          </c:val>
          <c:extLst>
            <c:ext xmlns:c16="http://schemas.microsoft.com/office/drawing/2014/chart" uri="{C3380CC4-5D6E-409C-BE32-E72D297353CC}">
              <c16:uniqueId val="{00000000-48EA-45D5-9DD4-926B9E26D033}"/>
            </c:ext>
          </c:extLst>
        </c:ser>
        <c:dLbls>
          <c:showLegendKey val="0"/>
          <c:showVal val="0"/>
          <c:showCatName val="0"/>
          <c:showSerName val="0"/>
          <c:showPercent val="0"/>
          <c:showBubbleSize val="0"/>
        </c:dLbls>
        <c:gapWidth val="182"/>
        <c:axId val="649669871"/>
        <c:axId val="1163940655"/>
      </c:barChart>
      <c:catAx>
        <c:axId val="64966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40655"/>
        <c:crosses val="autoZero"/>
        <c:auto val="1"/>
        <c:lblAlgn val="ctr"/>
        <c:lblOffset val="100"/>
        <c:noMultiLvlLbl val="0"/>
      </c:catAx>
      <c:valAx>
        <c:axId val="116394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66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[crypto_Analysis_Dashboard.xlsx]pivote_chats!PivotTable12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Price</a:t>
            </a:r>
            <a:r>
              <a:rPr lang="en-IN" b="1" baseline="0">
                <a:solidFill>
                  <a:srgbClr val="7030A0"/>
                </a:solidFill>
              </a:rPr>
              <a:t> Vs Doller pre Supply</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pivote_chats!$B$37</c:f>
              <c:strCache>
                <c:ptCount val="1"/>
                <c:pt idx="0">
                  <c:v>Sum of Doller Volume per Supply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pivote_chats!$A$38:$A$48</c:f>
              <c:strCache>
                <c:ptCount val="10"/>
                <c:pt idx="0">
                  <c:v>Advanced Micro Devices Tokenized bStocks</c:v>
                </c:pt>
                <c:pt idx="1">
                  <c:v>Amazon Tokenized bStocks</c:v>
                </c:pt>
                <c:pt idx="2">
                  <c:v>AXT Tokenized bStocks</c:v>
                </c:pt>
                <c:pt idx="3">
                  <c:v>Bitcoin</c:v>
                </c:pt>
                <c:pt idx="4">
                  <c:v>Bloom Energy Tokenized bStocks</c:v>
                </c:pt>
                <c:pt idx="5">
                  <c:v>Broadcom Tokenized Stock (Ondo)</c:v>
                </c:pt>
                <c:pt idx="6">
                  <c:v>Lockheed Tokenized Stock (Ondo)</c:v>
                </c:pt>
                <c:pt idx="7">
                  <c:v>Mastercard Tokenized Stock (Ondo)</c:v>
                </c:pt>
                <c:pt idx="8">
                  <c:v>Semicon Bull 3X ETF Tokenized bStocks</c:v>
                </c:pt>
                <c:pt idx="9">
                  <c:v>Tesla Tokenized bStocks</c:v>
                </c:pt>
              </c:strCache>
            </c:strRef>
          </c:cat>
          <c:val>
            <c:numRef>
              <c:f>pivote_chats!$B$38:$B$48</c:f>
              <c:numCache>
                <c:formatCode>General</c:formatCode>
                <c:ptCount val="10"/>
                <c:pt idx="0">
                  <c:v>692.98245614035091</c:v>
                </c:pt>
                <c:pt idx="1">
                  <c:v>394.40993788819878</c:v>
                </c:pt>
                <c:pt idx="2">
                  <c:v>195.00870574579221</c:v>
                </c:pt>
                <c:pt idx="3">
                  <c:v>1544.865403788634</c:v>
                </c:pt>
                <c:pt idx="4">
                  <c:v>385.37549407114625</c:v>
                </c:pt>
                <c:pt idx="5">
                  <c:v>209.62199312714776</c:v>
                </c:pt>
                <c:pt idx="6">
                  <c:v>179.59183673469389</c:v>
                </c:pt>
                <c:pt idx="7">
                  <c:v>586.66666666666663</c:v>
                </c:pt>
                <c:pt idx="8">
                  <c:v>302.16824258232799</c:v>
                </c:pt>
                <c:pt idx="9">
                  <c:v>237.27919852359611</c:v>
                </c:pt>
              </c:numCache>
            </c:numRef>
          </c:val>
          <c:extLst>
            <c:ext xmlns:c16="http://schemas.microsoft.com/office/drawing/2014/chart" uri="{C3380CC4-5D6E-409C-BE32-E72D297353CC}">
              <c16:uniqueId val="{00000000-F8ED-465C-9F70-E0A422EF7DF1}"/>
            </c:ext>
          </c:extLst>
        </c:ser>
        <c:ser>
          <c:idx val="1"/>
          <c:order val="1"/>
          <c:tx>
            <c:strRef>
              <c:f>pivote_chats!$C$37</c:f>
              <c:strCache>
                <c:ptCount val="1"/>
                <c:pt idx="0">
                  <c:v>Sum of Price (USD)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pivote_chats!$A$38:$A$48</c:f>
              <c:strCache>
                <c:ptCount val="10"/>
                <c:pt idx="0">
                  <c:v>Advanced Micro Devices Tokenized bStocks</c:v>
                </c:pt>
                <c:pt idx="1">
                  <c:v>Amazon Tokenized bStocks</c:v>
                </c:pt>
                <c:pt idx="2">
                  <c:v>AXT Tokenized bStocks</c:v>
                </c:pt>
                <c:pt idx="3">
                  <c:v>Bitcoin</c:v>
                </c:pt>
                <c:pt idx="4">
                  <c:v>Bloom Energy Tokenized bStocks</c:v>
                </c:pt>
                <c:pt idx="5">
                  <c:v>Broadcom Tokenized Stock (Ondo)</c:v>
                </c:pt>
                <c:pt idx="6">
                  <c:v>Lockheed Tokenized Stock (Ondo)</c:v>
                </c:pt>
                <c:pt idx="7">
                  <c:v>Mastercard Tokenized Stock (Ondo)</c:v>
                </c:pt>
                <c:pt idx="8">
                  <c:v>Semicon Bull 3X ETF Tokenized bStocks</c:v>
                </c:pt>
                <c:pt idx="9">
                  <c:v>Tesla Tokenized bStocks</c:v>
                </c:pt>
              </c:strCache>
            </c:strRef>
          </c:cat>
          <c:val>
            <c:numRef>
              <c:f>pivote_chats!$C$38:$C$48</c:f>
              <c:numCache>
                <c:formatCode>General</c:formatCode>
                <c:ptCount val="10"/>
                <c:pt idx="0">
                  <c:v>479.08</c:v>
                </c:pt>
                <c:pt idx="1">
                  <c:v>270.94</c:v>
                </c:pt>
                <c:pt idx="2">
                  <c:v>59.16</c:v>
                </c:pt>
                <c:pt idx="3">
                  <c:v>62905.02</c:v>
                </c:pt>
                <c:pt idx="4">
                  <c:v>206.65</c:v>
                </c:pt>
                <c:pt idx="5">
                  <c:v>389.13</c:v>
                </c:pt>
                <c:pt idx="6">
                  <c:v>592.08000000000004</c:v>
                </c:pt>
                <c:pt idx="7">
                  <c:v>575.01</c:v>
                </c:pt>
                <c:pt idx="8">
                  <c:v>113.71</c:v>
                </c:pt>
                <c:pt idx="9">
                  <c:v>310.04000000000002</c:v>
                </c:pt>
              </c:numCache>
            </c:numRef>
          </c:val>
          <c:extLst>
            <c:ext xmlns:c16="http://schemas.microsoft.com/office/drawing/2014/chart" uri="{C3380CC4-5D6E-409C-BE32-E72D297353CC}">
              <c16:uniqueId val="{00000001-F8ED-465C-9F70-E0A422EF7DF1}"/>
            </c:ext>
          </c:extLst>
        </c:ser>
        <c:dLbls>
          <c:dLblPos val="outEnd"/>
          <c:showLegendKey val="0"/>
          <c:showVal val="1"/>
          <c:showCatName val="0"/>
          <c:showSerName val="0"/>
          <c:showPercent val="0"/>
          <c:showBubbleSize val="0"/>
        </c:dLbls>
        <c:gapWidth val="219"/>
        <c:overlap val="-27"/>
        <c:axId val="553847823"/>
        <c:axId val="506264431"/>
      </c:barChart>
      <c:catAx>
        <c:axId val="55384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64431"/>
        <c:crosses val="autoZero"/>
        <c:auto val="1"/>
        <c:lblAlgn val="ctr"/>
        <c:lblOffset val="100"/>
        <c:noMultiLvlLbl val="0"/>
      </c:catAx>
      <c:valAx>
        <c:axId val="50626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4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a:glow rad="101600">
        <a:schemeClr val="accent3">
          <a:satMod val="175000"/>
          <a:alpha val="40000"/>
        </a:schemeClr>
      </a:glow>
      <a:outerShdw blurRad="50800" dist="50800" dir="5400000" algn="ctr" rotWithShape="0">
        <a:schemeClr val="accent6">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Market</a:t>
            </a:r>
            <a:r>
              <a:rPr lang="en-IN" b="1" baseline="0">
                <a:solidFill>
                  <a:srgbClr val="7030A0"/>
                </a:solidFill>
              </a:rPr>
              <a:t> Captial Shares</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51-426E-A859-E98EA76C9B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51-426E-A859-E98EA76C9B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51-426E-A859-E98EA76C9B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51-426E-A859-E98EA76C9B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51-426E-A859-E98EA76C9B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51-426E-A859-E98EA76C9B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pivote_chats!$D$66:$D$71</c:f>
              <c:strCache>
                <c:ptCount val="6"/>
                <c:pt idx="0">
                  <c:v>Bitcoin</c:v>
                </c:pt>
                <c:pt idx="1">
                  <c:v>Ethereum</c:v>
                </c:pt>
                <c:pt idx="2">
                  <c:v>Tether</c:v>
                </c:pt>
                <c:pt idx="3">
                  <c:v>BNB</c:v>
                </c:pt>
                <c:pt idx="4">
                  <c:v>USDC</c:v>
                </c:pt>
                <c:pt idx="5">
                  <c:v>others</c:v>
                </c:pt>
              </c:strCache>
            </c:strRef>
          </c:cat>
          <c:val>
            <c:numRef>
              <c:f>pivote_chats!$E$66:$E$71</c:f>
              <c:numCache>
                <c:formatCode>General</c:formatCode>
                <c:ptCount val="6"/>
                <c:pt idx="0">
                  <c:v>1260000000000</c:v>
                </c:pt>
                <c:pt idx="1">
                  <c:v>224490000000</c:v>
                </c:pt>
                <c:pt idx="2">
                  <c:v>183630000000</c:v>
                </c:pt>
                <c:pt idx="3">
                  <c:v>78080000000</c:v>
                </c:pt>
                <c:pt idx="4">
                  <c:v>71920000000</c:v>
                </c:pt>
                <c:pt idx="5">
                  <c:v>228122643250</c:v>
                </c:pt>
              </c:numCache>
            </c:numRef>
          </c:val>
          <c:extLst>
            <c:ext xmlns:c16="http://schemas.microsoft.com/office/drawing/2014/chart" uri="{C3380CC4-5D6E-409C-BE32-E72D297353CC}">
              <c16:uniqueId val="{00000000-AC9A-4389-8548-AF42A745FF7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alpha val="64000"/>
        </a:schemeClr>
      </a:solidFill>
      <a:round/>
    </a:ln>
    <a:effectLst>
      <a:glow rad="139700">
        <a:srgbClr val="92D050">
          <a:alpha val="40000"/>
        </a:srgbClr>
      </a:glow>
      <a:innerShdw blurRad="63500" dist="50800" dir="18900000">
        <a:schemeClr val="accent6">
          <a:lumMod val="75000"/>
          <a:alpha val="50000"/>
        </a:schemeClr>
      </a:inn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[crypto_Analysis_Dashboard.xlsx]pivote_chats!PivotTable9</c:name>
    <c:fmtId val="2"/>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b="1">
                <a:solidFill>
                  <a:srgbClr val="7030A0"/>
                </a:solidFill>
              </a:rPr>
              <a:t>Top 10 coins by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pivote_chats!$B$2</c:f>
              <c:strCache>
                <c:ptCount val="1"/>
                <c:pt idx="0">
                  <c:v>Total</c:v>
                </c:pt>
              </c:strCache>
            </c:strRef>
          </c:tx>
          <c:spPr>
            <a:solidFill>
              <a:schemeClr val="accent1"/>
            </a:solidFill>
            <a:ln>
              <a:noFill/>
            </a:ln>
            <a:effectLst/>
          </c:spPr>
          <c:invertIfNegative val="0"/>
          <c:cat>
            <c:strRef>
              <c:f>pivote_chats!$A$3:$A$13</c:f>
              <c:strCache>
                <c:ptCount val="10"/>
                <c:pt idx="0">
                  <c:v>Advanced Micro Devices Tokenized bStocks</c:v>
                </c:pt>
                <c:pt idx="1">
                  <c:v>Bitcoin</c:v>
                </c:pt>
                <c:pt idx="2">
                  <c:v>BNB</c:v>
                </c:pt>
                <c:pt idx="3">
                  <c:v>Ethereum</c:v>
                </c:pt>
                <c:pt idx="4">
                  <c:v>Lockheed Tokenized Stock (Ondo)</c:v>
                </c:pt>
                <c:pt idx="5">
                  <c:v>Mastercard Tokenized Stock (Ondo)</c:v>
                </c:pt>
                <c:pt idx="6">
                  <c:v>Meta Tokenized Stock (Reality)</c:v>
                </c:pt>
                <c:pt idx="7">
                  <c:v>Micron Tokenized Stock (Reality)</c:v>
                </c:pt>
                <c:pt idx="8">
                  <c:v>OpenAI
Pre-IPO stock (Republic)</c:v>
                </c:pt>
                <c:pt idx="9">
                  <c:v>SanDisk Tokenized Stock (Reality)</c:v>
                </c:pt>
              </c:strCache>
            </c:strRef>
          </c:cat>
          <c:val>
            <c:numRef>
              <c:f>pivote_chats!$B$3:$B$13</c:f>
              <c:numCache>
                <c:formatCode>General</c:formatCode>
                <c:ptCount val="10"/>
                <c:pt idx="0">
                  <c:v>479.08</c:v>
                </c:pt>
                <c:pt idx="1">
                  <c:v>62905.02</c:v>
                </c:pt>
                <c:pt idx="2">
                  <c:v>586.66999999999996</c:v>
                </c:pt>
                <c:pt idx="3">
                  <c:v>1861.07</c:v>
                </c:pt>
                <c:pt idx="4">
                  <c:v>592.08000000000004</c:v>
                </c:pt>
                <c:pt idx="5">
                  <c:v>575.01</c:v>
                </c:pt>
                <c:pt idx="6">
                  <c:v>554.79999999999995</c:v>
                </c:pt>
                <c:pt idx="7">
                  <c:v>819.57</c:v>
                </c:pt>
                <c:pt idx="8">
                  <c:v>697.68</c:v>
                </c:pt>
                <c:pt idx="9">
                  <c:v>1211.4100000000001</c:v>
                </c:pt>
              </c:numCache>
            </c:numRef>
          </c:val>
          <c:extLst>
            <c:ext xmlns:c16="http://schemas.microsoft.com/office/drawing/2014/chart" uri="{C3380CC4-5D6E-409C-BE32-E72D297353CC}">
              <c16:uniqueId val="{00000000-D1B8-47FC-92CD-E58E29BF8445}"/>
            </c:ext>
          </c:extLst>
        </c:ser>
        <c:dLbls>
          <c:showLegendKey val="0"/>
          <c:showVal val="0"/>
          <c:showCatName val="0"/>
          <c:showSerName val="0"/>
          <c:showPercent val="0"/>
          <c:showBubbleSize val="0"/>
        </c:dLbls>
        <c:gapWidth val="219"/>
        <c:overlap val="-27"/>
        <c:axId val="662385487"/>
        <c:axId val="1165383663"/>
      </c:barChart>
      <c:catAx>
        <c:axId val="66238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383663"/>
        <c:crosses val="autoZero"/>
        <c:auto val="1"/>
        <c:lblAlgn val="ctr"/>
        <c:lblOffset val="100"/>
        <c:noMultiLvlLbl val="0"/>
      </c:catAx>
      <c:valAx>
        <c:axId val="116538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38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a:glow rad="101600">
        <a:schemeClr val="accent3">
          <a:satMod val="175000"/>
          <a:alpha val="40000"/>
        </a:schemeClr>
      </a:glow>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[crypto_Analysis_Dashboard.xlsx]pivote_chats!PivotTable10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7030A0"/>
                </a:solidFill>
              </a:rPr>
              <a:t>Most changes in 1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pivote_chats!$B$20</c:f>
              <c:strCache>
                <c:ptCount val="1"/>
                <c:pt idx="0">
                  <c:v>Total</c:v>
                </c:pt>
              </c:strCache>
            </c:strRef>
          </c:tx>
          <c:spPr>
            <a:solidFill>
              <a:schemeClr val="accent1"/>
            </a:solidFill>
            <a:ln>
              <a:noFill/>
            </a:ln>
            <a:effectLst/>
          </c:spPr>
          <c:invertIfNegative val="0"/>
          <c:cat>
            <c:strRef>
              <c:f>pivote_chats!$A$21:$A$31</c:f>
              <c:strCache>
                <c:ptCount val="10"/>
                <c:pt idx="0">
                  <c:v>Ampleforth Governance Token</c:v>
                </c:pt>
                <c:pt idx="1">
                  <c:v>Asteroid Shiba</c:v>
                </c:pt>
                <c:pt idx="2">
                  <c:v>GALAXIA</c:v>
                </c:pt>
                <c:pt idx="3">
                  <c:v>Hachiko</c:v>
                </c:pt>
                <c:pt idx="4">
                  <c:v>Make Aliens Great Again</c:v>
                </c:pt>
                <c:pt idx="5">
                  <c:v>NanoByte Token</c:v>
                </c:pt>
                <c:pt idx="6">
                  <c:v>Odos</c:v>
                </c:pt>
                <c:pt idx="7">
                  <c:v>Orchid</c:v>
                </c:pt>
                <c:pt idx="8">
                  <c:v>RIZE</c:v>
                </c:pt>
                <c:pt idx="9">
                  <c:v>UNCX Network</c:v>
                </c:pt>
              </c:strCache>
            </c:strRef>
          </c:cat>
          <c:val>
            <c:numRef>
              <c:f>pivote_chats!$B$21:$B$31</c:f>
              <c:numCache>
                <c:formatCode>General</c:formatCode>
                <c:ptCount val="10"/>
                <c:pt idx="0">
                  <c:v>5.57</c:v>
                </c:pt>
                <c:pt idx="1">
                  <c:v>4.53</c:v>
                </c:pt>
                <c:pt idx="2">
                  <c:v>9.1999999999999993</c:v>
                </c:pt>
                <c:pt idx="3">
                  <c:v>3.39</c:v>
                </c:pt>
                <c:pt idx="4">
                  <c:v>5.66</c:v>
                </c:pt>
                <c:pt idx="5">
                  <c:v>4.4800000000000004</c:v>
                </c:pt>
                <c:pt idx="6">
                  <c:v>3.85</c:v>
                </c:pt>
                <c:pt idx="7">
                  <c:v>3.06</c:v>
                </c:pt>
                <c:pt idx="8">
                  <c:v>4.3499999999999996</c:v>
                </c:pt>
                <c:pt idx="9">
                  <c:v>16.46</c:v>
                </c:pt>
              </c:numCache>
            </c:numRef>
          </c:val>
          <c:extLst>
            <c:ext xmlns:c16="http://schemas.microsoft.com/office/drawing/2014/chart" uri="{C3380CC4-5D6E-409C-BE32-E72D297353CC}">
              <c16:uniqueId val="{00000000-6960-49D9-977D-2E54C409A388}"/>
            </c:ext>
          </c:extLst>
        </c:ser>
        <c:dLbls>
          <c:showLegendKey val="0"/>
          <c:showVal val="0"/>
          <c:showCatName val="0"/>
          <c:showSerName val="0"/>
          <c:showPercent val="0"/>
          <c:showBubbleSize val="0"/>
        </c:dLbls>
        <c:gapWidth val="182"/>
        <c:axId val="649669871"/>
        <c:axId val="1163940655"/>
      </c:barChart>
      <c:catAx>
        <c:axId val="64966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40655"/>
        <c:crosses val="autoZero"/>
        <c:auto val="1"/>
        <c:lblAlgn val="ctr"/>
        <c:lblOffset val="100"/>
        <c:noMultiLvlLbl val="0"/>
      </c:catAx>
      <c:valAx>
        <c:axId val="116394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66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[crypto_Analysis_Dashboard.xlsx]pivote_chats!PivotTable12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Price</a:t>
            </a:r>
            <a:r>
              <a:rPr lang="en-IN" b="1" baseline="0">
                <a:solidFill>
                  <a:srgbClr val="7030A0"/>
                </a:solidFill>
              </a:rPr>
              <a:t> Vs Doller pre Supply</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pivote_chats!$B$37</c:f>
              <c:strCache>
                <c:ptCount val="1"/>
                <c:pt idx="0">
                  <c:v>Sum of Doller Volume per Supply</c:v>
                </c:pt>
              </c:strCache>
            </c:strRef>
          </c:tx>
          <c:spPr>
            <a:solidFill>
              <a:schemeClr val="accent1"/>
            </a:solidFill>
            <a:ln>
              <a:noFill/>
            </a:ln>
            <a:effectLst/>
          </c:spPr>
          <c:invertIfNegative val="0"/>
          <c:cat>
            <c:strRef>
              <c:f>pivote_chats!$A$38:$A$48</c:f>
              <c:strCache>
                <c:ptCount val="10"/>
                <c:pt idx="0">
                  <c:v>Advanced Micro Devices Tokenized bStocks</c:v>
                </c:pt>
                <c:pt idx="1">
                  <c:v>Amazon Tokenized bStocks</c:v>
                </c:pt>
                <c:pt idx="2">
                  <c:v>AXT Tokenized bStocks</c:v>
                </c:pt>
                <c:pt idx="3">
                  <c:v>Bitcoin</c:v>
                </c:pt>
                <c:pt idx="4">
                  <c:v>Bloom Energy Tokenized bStocks</c:v>
                </c:pt>
                <c:pt idx="5">
                  <c:v>Broadcom Tokenized Stock (Ondo)</c:v>
                </c:pt>
                <c:pt idx="6">
                  <c:v>Lockheed Tokenized Stock (Ondo)</c:v>
                </c:pt>
                <c:pt idx="7">
                  <c:v>Mastercard Tokenized Stock (Ondo)</c:v>
                </c:pt>
                <c:pt idx="8">
                  <c:v>Semicon Bull 3X ETF Tokenized bStocks</c:v>
                </c:pt>
                <c:pt idx="9">
                  <c:v>Tesla Tokenized bStocks</c:v>
                </c:pt>
              </c:strCache>
            </c:strRef>
          </c:cat>
          <c:val>
            <c:numRef>
              <c:f>pivote_chats!$B$38:$B$48</c:f>
              <c:numCache>
                <c:formatCode>General</c:formatCode>
                <c:ptCount val="10"/>
                <c:pt idx="0">
                  <c:v>692.98245614035091</c:v>
                </c:pt>
                <c:pt idx="1">
                  <c:v>394.40993788819878</c:v>
                </c:pt>
                <c:pt idx="2">
                  <c:v>195.00870574579221</c:v>
                </c:pt>
                <c:pt idx="3">
                  <c:v>1544.865403788634</c:v>
                </c:pt>
                <c:pt idx="4">
                  <c:v>385.37549407114625</c:v>
                </c:pt>
                <c:pt idx="5">
                  <c:v>209.62199312714776</c:v>
                </c:pt>
                <c:pt idx="6">
                  <c:v>179.59183673469389</c:v>
                </c:pt>
                <c:pt idx="7">
                  <c:v>586.66666666666663</c:v>
                </c:pt>
                <c:pt idx="8">
                  <c:v>302.16824258232799</c:v>
                </c:pt>
                <c:pt idx="9">
                  <c:v>237.27919852359611</c:v>
                </c:pt>
              </c:numCache>
            </c:numRef>
          </c:val>
          <c:extLst>
            <c:ext xmlns:c16="http://schemas.microsoft.com/office/drawing/2014/chart" uri="{C3380CC4-5D6E-409C-BE32-E72D297353CC}">
              <c16:uniqueId val="{00000000-3486-45DC-88F9-78D95ACB8CD7}"/>
            </c:ext>
          </c:extLst>
        </c:ser>
        <c:ser>
          <c:idx val="1"/>
          <c:order val="1"/>
          <c:tx>
            <c:strRef>
              <c:f>pivote_chats!$C$37</c:f>
              <c:strCache>
                <c:ptCount val="1"/>
                <c:pt idx="0">
                  <c:v>Sum of Price (USD)</c:v>
                </c:pt>
              </c:strCache>
            </c:strRef>
          </c:tx>
          <c:spPr>
            <a:solidFill>
              <a:schemeClr val="accent2"/>
            </a:solidFill>
            <a:ln>
              <a:noFill/>
            </a:ln>
            <a:effectLst/>
          </c:spPr>
          <c:invertIfNegative val="0"/>
          <c:cat>
            <c:strRef>
              <c:f>pivote_chats!$A$38:$A$48</c:f>
              <c:strCache>
                <c:ptCount val="10"/>
                <c:pt idx="0">
                  <c:v>Advanced Micro Devices Tokenized bStocks</c:v>
                </c:pt>
                <c:pt idx="1">
                  <c:v>Amazon Tokenized bStocks</c:v>
                </c:pt>
                <c:pt idx="2">
                  <c:v>AXT Tokenized bStocks</c:v>
                </c:pt>
                <c:pt idx="3">
                  <c:v>Bitcoin</c:v>
                </c:pt>
                <c:pt idx="4">
                  <c:v>Bloom Energy Tokenized bStocks</c:v>
                </c:pt>
                <c:pt idx="5">
                  <c:v>Broadcom Tokenized Stock (Ondo)</c:v>
                </c:pt>
                <c:pt idx="6">
                  <c:v>Lockheed Tokenized Stock (Ondo)</c:v>
                </c:pt>
                <c:pt idx="7">
                  <c:v>Mastercard Tokenized Stock (Ondo)</c:v>
                </c:pt>
                <c:pt idx="8">
                  <c:v>Semicon Bull 3X ETF Tokenized bStocks</c:v>
                </c:pt>
                <c:pt idx="9">
                  <c:v>Tesla Tokenized bStocks</c:v>
                </c:pt>
              </c:strCache>
            </c:strRef>
          </c:cat>
          <c:val>
            <c:numRef>
              <c:f>pivote_chats!$C$38:$C$48</c:f>
              <c:numCache>
                <c:formatCode>General</c:formatCode>
                <c:ptCount val="10"/>
                <c:pt idx="0">
                  <c:v>479.08</c:v>
                </c:pt>
                <c:pt idx="1">
                  <c:v>270.94</c:v>
                </c:pt>
                <c:pt idx="2">
                  <c:v>59.16</c:v>
                </c:pt>
                <c:pt idx="3">
                  <c:v>62905.02</c:v>
                </c:pt>
                <c:pt idx="4">
                  <c:v>206.65</c:v>
                </c:pt>
                <c:pt idx="5">
                  <c:v>389.13</c:v>
                </c:pt>
                <c:pt idx="6">
                  <c:v>592.08000000000004</c:v>
                </c:pt>
                <c:pt idx="7">
                  <c:v>575.01</c:v>
                </c:pt>
                <c:pt idx="8">
                  <c:v>113.71</c:v>
                </c:pt>
                <c:pt idx="9">
                  <c:v>310.04000000000002</c:v>
                </c:pt>
              </c:numCache>
            </c:numRef>
          </c:val>
          <c:extLst>
            <c:ext xmlns:c16="http://schemas.microsoft.com/office/drawing/2014/chart" uri="{C3380CC4-5D6E-409C-BE32-E72D297353CC}">
              <c16:uniqueId val="{00000001-3486-45DC-88F9-78D95ACB8CD7}"/>
            </c:ext>
          </c:extLst>
        </c:ser>
        <c:dLbls>
          <c:showLegendKey val="0"/>
          <c:showVal val="0"/>
          <c:showCatName val="0"/>
          <c:showSerName val="0"/>
          <c:showPercent val="0"/>
          <c:showBubbleSize val="0"/>
        </c:dLbls>
        <c:gapWidth val="219"/>
        <c:overlap val="-27"/>
        <c:axId val="553847823"/>
        <c:axId val="506264431"/>
      </c:barChart>
      <c:catAx>
        <c:axId val="55384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64431"/>
        <c:crosses val="autoZero"/>
        <c:auto val="1"/>
        <c:lblAlgn val="ctr"/>
        <c:lblOffset val="100"/>
        <c:noMultiLvlLbl val="0"/>
      </c:catAx>
      <c:valAx>
        <c:axId val="50626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4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a:glow rad="101600">
        <a:schemeClr val="accent3">
          <a:satMod val="175000"/>
          <a:alpha val="40000"/>
        </a:schemeClr>
      </a:glow>
      <a:outerShdw blurRad="50800" dist="50800" dir="5400000" algn="ctr" rotWithShape="0">
        <a:schemeClr val="accent6">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Market</a:t>
            </a:r>
            <a:r>
              <a:rPr lang="en-IN" b="1" baseline="0">
                <a:solidFill>
                  <a:srgbClr val="7030A0"/>
                </a:solidFill>
              </a:rPr>
              <a:t> Captial Shares</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83-4B66-8A6C-9D6E1A6796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83-4B66-8A6C-9D6E1A6796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83-4B66-8A6C-9D6E1A6796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83-4B66-8A6C-9D6E1A6796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83-4B66-8A6C-9D6E1A6796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83-4B66-8A6C-9D6E1A6796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pivote_chats!$D$66:$D$71</c:f>
              <c:strCache>
                <c:ptCount val="6"/>
                <c:pt idx="0">
                  <c:v>Bitcoin</c:v>
                </c:pt>
                <c:pt idx="1">
                  <c:v>Ethereum</c:v>
                </c:pt>
                <c:pt idx="2">
                  <c:v>Tether</c:v>
                </c:pt>
                <c:pt idx="3">
                  <c:v>BNB</c:v>
                </c:pt>
                <c:pt idx="4">
                  <c:v>USDC</c:v>
                </c:pt>
                <c:pt idx="5">
                  <c:v>others</c:v>
                </c:pt>
              </c:strCache>
            </c:strRef>
          </c:cat>
          <c:val>
            <c:numRef>
              <c:f>pivote_chats!$E$66:$E$71</c:f>
              <c:numCache>
                <c:formatCode>General</c:formatCode>
                <c:ptCount val="6"/>
                <c:pt idx="0">
                  <c:v>1260000000000</c:v>
                </c:pt>
                <c:pt idx="1">
                  <c:v>224490000000</c:v>
                </c:pt>
                <c:pt idx="2">
                  <c:v>183630000000</c:v>
                </c:pt>
                <c:pt idx="3">
                  <c:v>78080000000</c:v>
                </c:pt>
                <c:pt idx="4">
                  <c:v>71920000000</c:v>
                </c:pt>
                <c:pt idx="5">
                  <c:v>228122643250</c:v>
                </c:pt>
              </c:numCache>
            </c:numRef>
          </c:val>
          <c:extLst>
            <c:ext xmlns:c16="http://schemas.microsoft.com/office/drawing/2014/chart" uri="{C3380CC4-5D6E-409C-BE32-E72D297353CC}">
              <c16:uniqueId val="{0000000C-0183-4B66-8A6C-9D6E1A6796E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1000">
          <a:schemeClr val="accent3">
            <a:lumMod val="40000"/>
            <a:lumOff val="60000"/>
          </a:schemeClr>
        </a:gs>
        <a:gs pos="9000">
          <a:schemeClr val="accent3">
            <a:lumMod val="20000"/>
            <a:lumOff val="80000"/>
          </a:schemeClr>
        </a:gs>
        <a:gs pos="78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alpha val="64000"/>
        </a:schemeClr>
      </a:solidFill>
      <a:round/>
    </a:ln>
    <a:effectLst>
      <a:glow rad="139700">
        <a:srgbClr val="92D050">
          <a:alpha val="40000"/>
        </a:srgbClr>
      </a:glow>
      <a:innerShdw blurRad="63500" dist="50800" dir="18900000">
        <a:schemeClr val="accent6">
          <a:lumMod val="75000"/>
          <a:alpha val="50000"/>
        </a:schemeClr>
      </a:inn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342900</xdr:colOff>
      <xdr:row>1</xdr:row>
      <xdr:rowOff>163830</xdr:rowOff>
    </xdr:from>
    <xdr:to>
      <xdr:col>13</xdr:col>
      <xdr:colOff>342900</xdr:colOff>
      <xdr:row>19</xdr:row>
      <xdr:rowOff>30480</xdr:rowOff>
    </xdr:to>
    <xdr:graphicFrame macro="">
      <xdr:nvGraphicFramePr>
        <xdr:cNvPr id="4" name="Chart 3">
          <a:extLst>
            <a:ext uri="{FF2B5EF4-FFF2-40B4-BE49-F238E27FC236}">
              <a16:creationId xmlns:a16="http://schemas.microsoft.com/office/drawing/2014/main" id="{E2FAF268-478D-F07A-1955-C995C41B1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2209800</xdr:colOff>
      <xdr:row>15</xdr:row>
      <xdr:rowOff>106681</xdr:rowOff>
    </xdr:from>
    <xdr:to>
      <xdr:col>1</xdr:col>
      <xdr:colOff>298772</xdr:colOff>
      <xdr:row>27</xdr:row>
      <xdr:rowOff>53341</xdr:rowOff>
    </xdr:to>
    <mc:AlternateContent xmlns:mc="http://schemas.openxmlformats.org/markup-compatibility/2006" xmlns:a14="http://schemas.microsoft.com/office/drawing/2010/main">
      <mc:Choice Requires="a14">
        <xdr:graphicFrame macro="">
          <xdr:nvGraphicFramePr>
            <xdr:cNvPr id="5" name="Price (USD)">
              <a:extLst>
                <a:ext uri="{FF2B5EF4-FFF2-40B4-BE49-F238E27FC236}">
                  <a16:creationId xmlns:a16="http://schemas.microsoft.com/office/drawing/2014/main" id="{27ED2F22-EB4C-E21B-E99D-2A33EC09D40F}"/>
                </a:ext>
              </a:extLst>
            </xdr:cNvPr>
            <xdr:cNvGraphicFramePr/>
          </xdr:nvGraphicFramePr>
          <xdr:xfrm>
            <a:off x="0" y="0"/>
            <a:ext cx="0" cy="0"/>
          </xdr:xfrm>
          <a:graphic>
            <a:graphicData uri="http://schemas.microsoft.com/office/drawing/2010/slicer">
              <sle:slicer xmlns:sle="http://schemas.microsoft.com/office/drawing/2010/slicer" name="Price (USD)"/>
            </a:graphicData>
          </a:graphic>
        </xdr:graphicFrame>
      </mc:Choice>
      <mc:Fallback xmlns="">
        <xdr:sp macro="" textlink="">
          <xdr:nvSpPr>
            <xdr:cNvPr id="0" name=""/>
            <xdr:cNvSpPr>
              <a:spLocks noTextEdit="1"/>
            </xdr:cNvSpPr>
          </xdr:nvSpPr>
          <xdr:spPr>
            <a:xfrm>
              <a:off x="2209800" y="2836233"/>
              <a:ext cx="1580524" cy="2130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220980</xdr:colOff>
      <xdr:row>34</xdr:row>
      <xdr:rowOff>41910</xdr:rowOff>
    </xdr:from>
    <xdr:to>
      <xdr:col>13</xdr:col>
      <xdr:colOff>12915</xdr:colOff>
      <xdr:row>49</xdr:row>
      <xdr:rowOff>41910</xdr:rowOff>
    </xdr:to>
    <xdr:graphicFrame macro="">
      <xdr:nvGraphicFramePr>
        <xdr:cNvPr id="6" name="Chart 5">
          <a:extLst>
            <a:ext uri="{FF2B5EF4-FFF2-40B4-BE49-F238E27FC236}">
              <a16:creationId xmlns:a16="http://schemas.microsoft.com/office/drawing/2014/main" id="{1A3A69A3-B97D-B4F1-045B-A312FA1F8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100100</xdr:colOff>
      <xdr:row>34</xdr:row>
      <xdr:rowOff>174914</xdr:rowOff>
    </xdr:from>
    <xdr:to>
      <xdr:col>17</xdr:col>
      <xdr:colOff>110490</xdr:colOff>
      <xdr:row>48</xdr:row>
      <xdr:rowOff>96116</xdr:rowOff>
    </xdr:to>
    <mc:AlternateContent xmlns:mc="http://schemas.openxmlformats.org/markup-compatibility/2006" xmlns:a14="http://schemas.microsoft.com/office/drawing/2010/main">
      <mc:Choice Requires="a14">
        <xdr:graphicFrame macro="">
          <xdr:nvGraphicFramePr>
            <xdr:cNvPr id="7" name="1h Change (%)">
              <a:extLst>
                <a:ext uri="{FF2B5EF4-FFF2-40B4-BE49-F238E27FC236}">
                  <a16:creationId xmlns:a16="http://schemas.microsoft.com/office/drawing/2014/main" id="{8DA78BA7-97DD-4430-3D84-A08EA2B41592}"/>
                </a:ext>
              </a:extLst>
            </xdr:cNvPr>
            <xdr:cNvGraphicFramePr/>
          </xdr:nvGraphicFramePr>
          <xdr:xfrm>
            <a:off x="0" y="0"/>
            <a:ext cx="0" cy="0"/>
          </xdr:xfrm>
          <a:graphic>
            <a:graphicData uri="http://schemas.microsoft.com/office/drawing/2010/slicer">
              <sle:slicer xmlns:sle="http://schemas.microsoft.com/office/drawing/2010/slicer" name="1h Change (%)"/>
            </a:graphicData>
          </a:graphic>
        </xdr:graphicFrame>
      </mc:Choice>
      <mc:Fallback xmlns="">
        <xdr:sp macro="" textlink="">
          <xdr:nvSpPr>
            <xdr:cNvPr id="0" name=""/>
            <xdr:cNvSpPr>
              <a:spLocks noTextEdit="1"/>
            </xdr:cNvSpPr>
          </xdr:nvSpPr>
          <xdr:spPr>
            <a:xfrm>
              <a:off x="14612219" y="6361899"/>
              <a:ext cx="1852838" cy="2468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99060</xdr:colOff>
      <xdr:row>1</xdr:row>
      <xdr:rowOff>87630</xdr:rowOff>
    </xdr:from>
    <xdr:to>
      <xdr:col>10</xdr:col>
      <xdr:colOff>403860</xdr:colOff>
      <xdr:row>16</xdr:row>
      <xdr:rowOff>87630</xdr:rowOff>
    </xdr:to>
    <xdr:graphicFrame macro="">
      <xdr:nvGraphicFramePr>
        <xdr:cNvPr id="2" name="Chart 1">
          <a:extLst>
            <a:ext uri="{FF2B5EF4-FFF2-40B4-BE49-F238E27FC236}">
              <a16:creationId xmlns:a16="http://schemas.microsoft.com/office/drawing/2014/main" id="{5D57BE4B-FB41-3306-AB7A-87BC3E5F5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309649</xdr:colOff>
      <xdr:row>3</xdr:row>
      <xdr:rowOff>133697</xdr:rowOff>
    </xdr:from>
    <xdr:to>
      <xdr:col>14</xdr:col>
      <xdr:colOff>309649</xdr:colOff>
      <xdr:row>17</xdr:row>
      <xdr:rowOff>40352</xdr:rowOff>
    </xdr:to>
    <mc:AlternateContent xmlns:mc="http://schemas.openxmlformats.org/markup-compatibility/2006">
      <mc:Choice xmlns:a14="http://schemas.microsoft.com/office/drawing/2010/main" Requires="a14">
        <xdr:graphicFrame macro="">
          <xdr:nvGraphicFramePr>
            <xdr:cNvPr id="3" name="Price (USD) 1">
              <a:extLst>
                <a:ext uri="{FF2B5EF4-FFF2-40B4-BE49-F238E27FC236}">
                  <a16:creationId xmlns:a16="http://schemas.microsoft.com/office/drawing/2014/main" id="{E43AD7CD-FF8B-E070-FF07-E273C5B86263}"/>
                </a:ext>
              </a:extLst>
            </xdr:cNvPr>
            <xdr:cNvGraphicFramePr/>
          </xdr:nvGraphicFramePr>
          <xdr:xfrm>
            <a:off x="0" y="0"/>
            <a:ext cx="0" cy="0"/>
          </xdr:xfrm>
          <a:graphic>
            <a:graphicData uri="http://schemas.microsoft.com/office/drawing/2010/slicer">
              <sle:slicer xmlns:sle="http://schemas.microsoft.com/office/drawing/2010/slicer" name="Price (USD) 1"/>
            </a:graphicData>
          </a:graphic>
        </xdr:graphicFrame>
      </mc:Choice>
      <mc:Fallback>
        <xdr:sp macro="" textlink="">
          <xdr:nvSpPr>
            <xdr:cNvPr id="0" name=""/>
            <xdr:cNvSpPr>
              <a:spLocks noTextEdit="1"/>
            </xdr:cNvSpPr>
          </xdr:nvSpPr>
          <xdr:spPr>
            <a:xfrm>
              <a:off x="12969240" y="705197"/>
              <a:ext cx="1818409"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1165860</xdr:colOff>
      <xdr:row>18</xdr:row>
      <xdr:rowOff>72390</xdr:rowOff>
    </xdr:from>
    <xdr:to>
      <xdr:col>10</xdr:col>
      <xdr:colOff>114300</xdr:colOff>
      <xdr:row>33</xdr:row>
      <xdr:rowOff>72390</xdr:rowOff>
    </xdr:to>
    <xdr:graphicFrame macro="">
      <xdr:nvGraphicFramePr>
        <xdr:cNvPr id="4" name="Chart 3">
          <a:extLst>
            <a:ext uri="{FF2B5EF4-FFF2-40B4-BE49-F238E27FC236}">
              <a16:creationId xmlns:a16="http://schemas.microsoft.com/office/drawing/2014/main" id="{8A21C540-136A-CBF1-B0C8-6700D0185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236220</xdr:colOff>
      <xdr:row>35</xdr:row>
      <xdr:rowOff>34290</xdr:rowOff>
    </xdr:from>
    <xdr:to>
      <xdr:col>10</xdr:col>
      <xdr:colOff>541020</xdr:colOff>
      <xdr:row>50</xdr:row>
      <xdr:rowOff>34290</xdr:rowOff>
    </xdr:to>
    <xdr:graphicFrame macro="">
      <xdr:nvGraphicFramePr>
        <xdr:cNvPr id="7" name="Chart 6">
          <a:extLst>
            <a:ext uri="{FF2B5EF4-FFF2-40B4-BE49-F238E27FC236}">
              <a16:creationId xmlns:a16="http://schemas.microsoft.com/office/drawing/2014/main" id="{48E42C0A-3EB6-7E33-7511-86FF8CFE0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416034</xdr:colOff>
      <xdr:row>64</xdr:row>
      <xdr:rowOff>38538</xdr:rowOff>
    </xdr:from>
    <xdr:to>
      <xdr:col>13</xdr:col>
      <xdr:colOff>459827</xdr:colOff>
      <xdr:row>79</xdr:row>
      <xdr:rowOff>22772</xdr:rowOff>
    </xdr:to>
    <xdr:graphicFrame macro="">
      <xdr:nvGraphicFramePr>
        <xdr:cNvPr id="9" name="Chart 8">
          <a:extLst>
            <a:ext uri="{FF2B5EF4-FFF2-40B4-BE49-F238E27FC236}">
              <a16:creationId xmlns:a16="http://schemas.microsoft.com/office/drawing/2014/main" id="{21CB324E-54C1-7DA3-64E4-953AAF8EE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180976</xdr:colOff>
      <xdr:row>110</xdr:row>
      <xdr:rowOff>1</xdr:rowOff>
    </xdr:from>
    <xdr:to>
      <xdr:col>22</xdr:col>
      <xdr:colOff>485775</xdr:colOff>
      <xdr:row>118</xdr:row>
      <xdr:rowOff>76201</xdr:rowOff>
    </xdr:to>
    <xdr:sp macro="" textlink="">
      <xdr:nvSpPr>
        <xdr:cNvPr id="10" name="Rectangle 9">
          <a:extLst>
            <a:ext uri="{FF2B5EF4-FFF2-40B4-BE49-F238E27FC236}">
              <a16:creationId xmlns:a16="http://schemas.microsoft.com/office/drawing/2014/main" id="{C6A9665B-3120-E6EA-829B-1D013B360D87}"/>
            </a:ext>
          </a:extLst>
        </xdr:cNvPr>
        <xdr:cNvSpPr/>
      </xdr:nvSpPr>
      <xdr:spPr>
        <a:xfrm>
          <a:off x="20802601" y="19907251"/>
          <a:ext cx="2743199" cy="1524000"/>
        </a:xfrm>
        <a:prstGeom prst="rect">
          <a:avLst/>
        </a:prstGeom>
        <a:solidFill>
          <a:srgbClr val="A5F3E0"/>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r>
            <a:rPr lang="en-IN" sz="3200">
              <a:effectLst/>
            </a:rPr>
            <a:t> </a:t>
          </a:r>
          <a:r>
            <a:rPr lang="en-IN" sz="3200" b="0" i="0" u="none" strike="noStrike">
              <a:solidFill>
                <a:srgbClr val="7030A0"/>
              </a:solidFill>
              <a:effectLst/>
              <a:latin typeface="+mn-lt"/>
              <a:ea typeface="+mn-ea"/>
              <a:cs typeface="+mn-cs"/>
            </a:rPr>
            <a:t>2.04624E+12</a:t>
          </a:r>
          <a:r>
            <a:rPr lang="en-IN" sz="3200">
              <a:solidFill>
                <a:srgbClr val="7030A0"/>
              </a:solidFill>
              <a:effectLst/>
            </a:rPr>
            <a:t> </a:t>
          </a:r>
          <a:endParaRPr lang="en-IN" sz="3200">
            <a:solidFill>
              <a:srgbClr val="7030A0"/>
            </a:solidFill>
          </a:endParaRPr>
        </a:p>
      </xdr:txBody>
    </xdr:sp>
    <xdr:clientData/>
  </xdr:twoCellAnchor>
  <xdr:twoCellAnchor>
    <xdr:from>
      <xdr:col>18</xdr:col>
      <xdr:colOff>361950</xdr:colOff>
      <xdr:row>111</xdr:row>
      <xdr:rowOff>76201</xdr:rowOff>
    </xdr:from>
    <xdr:to>
      <xdr:col>22</xdr:col>
      <xdr:colOff>266700</xdr:colOff>
      <xdr:row>114</xdr:row>
      <xdr:rowOff>28576</xdr:rowOff>
    </xdr:to>
    <xdr:sp macro="" textlink="">
      <xdr:nvSpPr>
        <xdr:cNvPr id="6" name="Rectangle 5">
          <a:extLst>
            <a:ext uri="{FF2B5EF4-FFF2-40B4-BE49-F238E27FC236}">
              <a16:creationId xmlns:a16="http://schemas.microsoft.com/office/drawing/2014/main" id="{18BDA7B3-0B86-8B90-73FD-AA2BD94904A5}"/>
            </a:ext>
          </a:extLst>
        </xdr:cNvPr>
        <xdr:cNvSpPr/>
      </xdr:nvSpPr>
      <xdr:spPr>
        <a:xfrm>
          <a:off x="20983575" y="20164426"/>
          <a:ext cx="2343150" cy="495300"/>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accent6">
                  <a:lumMod val="50000"/>
                </a:schemeClr>
              </a:solidFill>
              <a:effectLst/>
              <a:latin typeface="+mn-lt"/>
              <a:ea typeface="+mn-ea"/>
              <a:cs typeface="+mn-cs"/>
            </a:rPr>
            <a:t>Sum of Market Cap</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editAs="oneCell">
    <xdr:from>
      <xdr:col>16</xdr:col>
      <xdr:colOff>0</xdr:colOff>
      <xdr:row>107</xdr:row>
      <xdr:rowOff>0</xdr:rowOff>
    </xdr:from>
    <xdr:to>
      <xdr:col>17</xdr:col>
      <xdr:colOff>1091188</xdr:colOff>
      <xdr:row>108</xdr:row>
      <xdr:rowOff>7620</xdr:rowOff>
    </xdr:to>
    <xdr:pic>
      <xdr:nvPicPr>
        <xdr:cNvPr id="8" name="Picture 7">
          <a:extLst>
            <a:ext uri="{FF2B5EF4-FFF2-40B4-BE49-F238E27FC236}">
              <a16:creationId xmlns:a16="http://schemas.microsoft.com/office/drawing/2014/main" id="{C012564F-DFF4-C5D2-36D4-E6D2F0306D3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116300" y="19568160"/>
          <a:ext cx="33147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180975</xdr:colOff>
      <xdr:row>120</xdr:row>
      <xdr:rowOff>85725</xdr:rowOff>
    </xdr:from>
    <xdr:to>
      <xdr:col>22</xdr:col>
      <xdr:colOff>485774</xdr:colOff>
      <xdr:row>128</xdr:row>
      <xdr:rowOff>161925</xdr:rowOff>
    </xdr:to>
    <xdr:sp macro="" textlink="">
      <xdr:nvSpPr>
        <xdr:cNvPr id="11" name="Rectangle 10">
          <a:extLst>
            <a:ext uri="{FF2B5EF4-FFF2-40B4-BE49-F238E27FC236}">
              <a16:creationId xmlns:a16="http://schemas.microsoft.com/office/drawing/2014/main" id="{296BFF86-A875-4C68-A8FD-217DE4CE011F}"/>
            </a:ext>
          </a:extLst>
        </xdr:cNvPr>
        <xdr:cNvSpPr/>
      </xdr:nvSpPr>
      <xdr:spPr>
        <a:xfrm>
          <a:off x="20802600" y="21802725"/>
          <a:ext cx="2743199" cy="1524000"/>
        </a:xfrm>
        <a:prstGeom prst="rect">
          <a:avLst/>
        </a:prstGeom>
        <a:solidFill>
          <a:srgbClr val="A5F3E0"/>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r>
            <a:rPr lang="en-IN" sz="3200">
              <a:effectLst/>
            </a:rPr>
            <a:t> </a:t>
          </a:r>
          <a:r>
            <a:rPr lang="en-IN" sz="3200" b="0" i="0" u="none" strike="noStrike">
              <a:solidFill>
                <a:srgbClr val="7030A0"/>
              </a:solidFill>
              <a:effectLst/>
              <a:latin typeface="+mn-lt"/>
              <a:ea typeface="+mn-ea"/>
              <a:cs typeface="+mn-cs"/>
            </a:rPr>
            <a:t>75333.41845</a:t>
          </a:r>
          <a:r>
            <a:rPr lang="en-IN" sz="3200">
              <a:solidFill>
                <a:srgbClr val="7030A0"/>
              </a:solidFill>
              <a:effectLst/>
            </a:rPr>
            <a:t> </a:t>
          </a:r>
          <a:endParaRPr lang="en-IN" sz="3200">
            <a:solidFill>
              <a:srgbClr val="7030A0"/>
            </a:solidFill>
          </a:endParaRPr>
        </a:p>
      </xdr:txBody>
    </xdr:sp>
    <xdr:clientData/>
  </xdr:twoCellAnchor>
  <xdr:twoCellAnchor>
    <xdr:from>
      <xdr:col>18</xdr:col>
      <xdr:colOff>361949</xdr:colOff>
      <xdr:row>121</xdr:row>
      <xdr:rowOff>123825</xdr:rowOff>
    </xdr:from>
    <xdr:to>
      <xdr:col>22</xdr:col>
      <xdr:colOff>266699</xdr:colOff>
      <xdr:row>124</xdr:row>
      <xdr:rowOff>76200</xdr:rowOff>
    </xdr:to>
    <xdr:sp macro="" textlink="">
      <xdr:nvSpPr>
        <xdr:cNvPr id="12" name="Rectangle 11">
          <a:extLst>
            <a:ext uri="{FF2B5EF4-FFF2-40B4-BE49-F238E27FC236}">
              <a16:creationId xmlns:a16="http://schemas.microsoft.com/office/drawing/2014/main" id="{C5ACAAD5-674E-4D7C-A99D-82B3CA32AE20}"/>
            </a:ext>
          </a:extLst>
        </xdr:cNvPr>
        <xdr:cNvSpPr/>
      </xdr:nvSpPr>
      <xdr:spPr>
        <a:xfrm>
          <a:off x="20983574" y="22021800"/>
          <a:ext cx="2343150" cy="495300"/>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accent6">
                  <a:lumMod val="50000"/>
                </a:schemeClr>
              </a:solidFill>
              <a:effectLst/>
              <a:latin typeface="+mn-lt"/>
              <a:ea typeface="+mn-ea"/>
              <a:cs typeface="+mn-cs"/>
            </a:rPr>
            <a:t>Sum of</a:t>
          </a:r>
          <a:r>
            <a:rPr lang="en-IN" sz="2000" b="1" i="0" u="none" strike="noStrike" baseline="0">
              <a:solidFill>
                <a:schemeClr val="accent6">
                  <a:lumMod val="50000"/>
                </a:schemeClr>
              </a:solidFill>
              <a:effectLst/>
              <a:latin typeface="+mn-lt"/>
              <a:ea typeface="+mn-ea"/>
              <a:cs typeface="+mn-cs"/>
            </a:rPr>
            <a:t> Total price </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24</xdr:col>
      <xdr:colOff>571500</xdr:colOff>
      <xdr:row>109</xdr:row>
      <xdr:rowOff>123825</xdr:rowOff>
    </xdr:from>
    <xdr:to>
      <xdr:col>29</xdr:col>
      <xdr:colOff>266699</xdr:colOff>
      <xdr:row>118</xdr:row>
      <xdr:rowOff>19050</xdr:rowOff>
    </xdr:to>
    <xdr:sp macro="" textlink="">
      <xdr:nvSpPr>
        <xdr:cNvPr id="13" name="Rectangle 12">
          <a:extLst>
            <a:ext uri="{FF2B5EF4-FFF2-40B4-BE49-F238E27FC236}">
              <a16:creationId xmlns:a16="http://schemas.microsoft.com/office/drawing/2014/main" id="{7851ED39-BCDA-4507-BDBD-943759345BDC}"/>
            </a:ext>
          </a:extLst>
        </xdr:cNvPr>
        <xdr:cNvSpPr/>
      </xdr:nvSpPr>
      <xdr:spPr>
        <a:xfrm>
          <a:off x="24850725" y="19850100"/>
          <a:ext cx="2743199" cy="1524000"/>
        </a:xfrm>
        <a:prstGeom prst="rect">
          <a:avLst/>
        </a:prstGeom>
        <a:solidFill>
          <a:srgbClr val="A5F3E0"/>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r>
            <a:rPr lang="en-IN" sz="3600">
              <a:solidFill>
                <a:srgbClr val="7030A0"/>
              </a:solidFill>
              <a:effectLst/>
            </a:rPr>
            <a:t> </a:t>
          </a:r>
          <a:r>
            <a:rPr lang="en-IN" sz="3600" b="0" i="0" u="none" strike="noStrike">
              <a:solidFill>
                <a:srgbClr val="7030A0"/>
              </a:solidFill>
              <a:effectLst/>
              <a:latin typeface="+mn-lt"/>
              <a:ea typeface="+mn-ea"/>
              <a:cs typeface="+mn-cs"/>
            </a:rPr>
            <a:t>5.92318E+15</a:t>
          </a:r>
          <a:r>
            <a:rPr lang="en-IN" sz="3600">
              <a:solidFill>
                <a:srgbClr val="7030A0"/>
              </a:solidFill>
              <a:effectLst/>
            </a:rPr>
            <a:t> </a:t>
          </a:r>
          <a:endParaRPr lang="en-IN" sz="3600">
            <a:solidFill>
              <a:srgbClr val="7030A0"/>
            </a:solidFill>
          </a:endParaRPr>
        </a:p>
      </xdr:txBody>
    </xdr:sp>
    <xdr:clientData/>
  </xdr:twoCellAnchor>
  <xdr:twoCellAnchor>
    <xdr:from>
      <xdr:col>25</xdr:col>
      <xdr:colOff>219074</xdr:colOff>
      <xdr:row>111</xdr:row>
      <xdr:rowOff>47625</xdr:rowOff>
    </xdr:from>
    <xdr:to>
      <xdr:col>29</xdr:col>
      <xdr:colOff>123824</xdr:colOff>
      <xdr:row>114</xdr:row>
      <xdr:rowOff>0</xdr:rowOff>
    </xdr:to>
    <xdr:sp macro="" textlink="">
      <xdr:nvSpPr>
        <xdr:cNvPr id="14" name="Rectangle 13">
          <a:extLst>
            <a:ext uri="{FF2B5EF4-FFF2-40B4-BE49-F238E27FC236}">
              <a16:creationId xmlns:a16="http://schemas.microsoft.com/office/drawing/2014/main" id="{8066CF9E-F329-4B34-ABF9-DE7BFB921BFC}"/>
            </a:ext>
          </a:extLst>
        </xdr:cNvPr>
        <xdr:cNvSpPr/>
      </xdr:nvSpPr>
      <xdr:spPr>
        <a:xfrm>
          <a:off x="25107899" y="20135850"/>
          <a:ext cx="2343150" cy="495300"/>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0" u="none" strike="noStrike">
              <a:solidFill>
                <a:schemeClr val="accent6">
                  <a:lumMod val="50000"/>
                </a:schemeClr>
              </a:solidFill>
              <a:effectLst/>
              <a:latin typeface="+mn-lt"/>
              <a:ea typeface="+mn-ea"/>
              <a:cs typeface="+mn-cs"/>
            </a:rPr>
            <a:t>Sum of Circulating Supply</a:t>
          </a:r>
          <a:r>
            <a:rPr lang="en-IN" sz="1600">
              <a:solidFill>
                <a:schemeClr val="accent6">
                  <a:lumMod val="50000"/>
                </a:schemeClr>
              </a:solidFill>
              <a:effectLst/>
            </a:rPr>
            <a:t> </a:t>
          </a:r>
          <a:endParaRPr lang="en-IN" sz="1600">
            <a:solidFill>
              <a:schemeClr val="accent6">
                <a:lumMod val="50000"/>
              </a:schemeClr>
            </a:solidFill>
          </a:endParaRPr>
        </a:p>
      </xdr:txBody>
    </xdr:sp>
    <xdr:clientData/>
  </xdr:twoCellAnchor>
  <xdr:twoCellAnchor>
    <xdr:from>
      <xdr:col>25</xdr:col>
      <xdr:colOff>28575</xdr:colOff>
      <xdr:row>122</xdr:row>
      <xdr:rowOff>66675</xdr:rowOff>
    </xdr:from>
    <xdr:to>
      <xdr:col>29</xdr:col>
      <xdr:colOff>333374</xdr:colOff>
      <xdr:row>131</xdr:row>
      <xdr:rowOff>66676</xdr:rowOff>
    </xdr:to>
    <xdr:sp macro="" textlink="">
      <xdr:nvSpPr>
        <xdr:cNvPr id="15" name="Rectangle 14">
          <a:extLst>
            <a:ext uri="{FF2B5EF4-FFF2-40B4-BE49-F238E27FC236}">
              <a16:creationId xmlns:a16="http://schemas.microsoft.com/office/drawing/2014/main" id="{B0FA7A32-12BA-489B-9A66-7C667DE3518A}"/>
            </a:ext>
          </a:extLst>
        </xdr:cNvPr>
        <xdr:cNvSpPr/>
      </xdr:nvSpPr>
      <xdr:spPr>
        <a:xfrm>
          <a:off x="24917400" y="22145625"/>
          <a:ext cx="2743199" cy="1628776"/>
        </a:xfrm>
        <a:prstGeom prst="rect">
          <a:avLst/>
        </a:prstGeom>
        <a:solidFill>
          <a:srgbClr val="A5F3E0"/>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0" i="0" u="none" strike="noStrike" baseline="0">
              <a:solidFill>
                <a:srgbClr val="7030A0"/>
              </a:solidFill>
              <a:effectLst/>
              <a:latin typeface="+mn-lt"/>
              <a:ea typeface="+mn-ea"/>
              <a:cs typeface="+mn-cs"/>
            </a:rPr>
            <a:t>    </a:t>
          </a:r>
        </a:p>
        <a:p>
          <a:pPr algn="l"/>
          <a:r>
            <a:rPr lang="en-IN" sz="3200" b="0" i="0" u="none" strike="noStrike" baseline="0">
              <a:solidFill>
                <a:srgbClr val="7030A0"/>
              </a:solidFill>
              <a:effectLst/>
              <a:latin typeface="+mn-lt"/>
              <a:ea typeface="+mn-ea"/>
              <a:cs typeface="+mn-cs"/>
            </a:rPr>
            <a:t>         </a:t>
          </a:r>
        </a:p>
        <a:p>
          <a:pPr algn="l"/>
          <a:r>
            <a:rPr lang="en-IN" sz="3200" b="0" i="0" u="none" strike="noStrike" baseline="0">
              <a:solidFill>
                <a:srgbClr val="7030A0"/>
              </a:solidFill>
              <a:effectLst/>
              <a:latin typeface="+mn-lt"/>
              <a:ea typeface="+mn-ea"/>
              <a:cs typeface="+mn-cs"/>
            </a:rPr>
            <a:t>        </a:t>
          </a:r>
          <a:r>
            <a:rPr lang="en-IN" sz="3200" b="0" i="0" u="none" strike="noStrike">
              <a:solidFill>
                <a:srgbClr val="7030A0"/>
              </a:solidFill>
              <a:effectLst/>
              <a:latin typeface="+mn-lt"/>
              <a:ea typeface="+mn-ea"/>
              <a:cs typeface="+mn-cs"/>
            </a:rPr>
            <a:t>Bitcoin</a:t>
          </a:r>
          <a:r>
            <a:rPr lang="en-IN" sz="3200">
              <a:solidFill>
                <a:srgbClr val="7030A0"/>
              </a:solidFill>
              <a:effectLst/>
            </a:rPr>
            <a:t> </a:t>
          </a:r>
          <a:endParaRPr lang="en-IN" sz="3200">
            <a:solidFill>
              <a:srgbClr val="7030A0"/>
            </a:solidFill>
          </a:endParaRPr>
        </a:p>
      </xdr:txBody>
    </xdr:sp>
    <xdr:clientData/>
  </xdr:twoCellAnchor>
  <xdr:twoCellAnchor>
    <xdr:from>
      <xdr:col>25</xdr:col>
      <xdr:colOff>247649</xdr:colOff>
      <xdr:row>124</xdr:row>
      <xdr:rowOff>28575</xdr:rowOff>
    </xdr:from>
    <xdr:to>
      <xdr:col>29</xdr:col>
      <xdr:colOff>152399</xdr:colOff>
      <xdr:row>126</xdr:row>
      <xdr:rowOff>161925</xdr:rowOff>
    </xdr:to>
    <xdr:sp macro="" textlink="">
      <xdr:nvSpPr>
        <xdr:cNvPr id="16" name="Rectangle 15">
          <a:extLst>
            <a:ext uri="{FF2B5EF4-FFF2-40B4-BE49-F238E27FC236}">
              <a16:creationId xmlns:a16="http://schemas.microsoft.com/office/drawing/2014/main" id="{06AE1CAA-C334-42E2-AC99-CCC93D16319C}"/>
            </a:ext>
          </a:extLst>
        </xdr:cNvPr>
        <xdr:cNvSpPr/>
      </xdr:nvSpPr>
      <xdr:spPr>
        <a:xfrm>
          <a:off x="25136474" y="22469475"/>
          <a:ext cx="2343150" cy="495300"/>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accent6">
                  <a:lumMod val="50000"/>
                </a:schemeClr>
              </a:solidFill>
              <a:effectLst/>
              <a:latin typeface="+mn-lt"/>
              <a:ea typeface="+mn-ea"/>
              <a:cs typeface="+mn-cs"/>
            </a:rPr>
            <a:t>Highest</a:t>
          </a:r>
          <a:r>
            <a:rPr lang="en-IN" sz="2000" b="1" i="0" u="none" strike="noStrike" baseline="0">
              <a:solidFill>
                <a:schemeClr val="accent6">
                  <a:lumMod val="50000"/>
                </a:schemeClr>
              </a:solidFill>
              <a:effectLst/>
              <a:latin typeface="+mn-lt"/>
              <a:ea typeface="+mn-ea"/>
              <a:cs typeface="+mn-cs"/>
            </a:rPr>
            <a:t> Price Coin</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15</xdr:col>
      <xdr:colOff>181429</xdr:colOff>
      <xdr:row>123</xdr:row>
      <xdr:rowOff>9525</xdr:rowOff>
    </xdr:from>
    <xdr:to>
      <xdr:col>17</xdr:col>
      <xdr:colOff>589643</xdr:colOff>
      <xdr:row>132</xdr:row>
      <xdr:rowOff>28575</xdr:rowOff>
    </xdr:to>
    <xdr:sp macro="" textlink="">
      <xdr:nvSpPr>
        <xdr:cNvPr id="17" name="Rectangle 16">
          <a:extLst>
            <a:ext uri="{FF2B5EF4-FFF2-40B4-BE49-F238E27FC236}">
              <a16:creationId xmlns:a16="http://schemas.microsoft.com/office/drawing/2014/main" id="{26A6ADCA-8478-4DBC-B731-2EFC783190C3}"/>
            </a:ext>
          </a:extLst>
        </xdr:cNvPr>
        <xdr:cNvSpPr/>
      </xdr:nvSpPr>
      <xdr:spPr>
        <a:xfrm>
          <a:off x="13706929" y="22325239"/>
          <a:ext cx="2585357" cy="1651907"/>
        </a:xfrm>
        <a:prstGeom prst="rect">
          <a:avLst/>
        </a:prstGeom>
        <a:solidFill>
          <a:srgbClr val="A5F3E0"/>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rgbClr val="7030A0"/>
              </a:solidFill>
              <a:effectLst/>
            </a:rPr>
            <a:t> </a:t>
          </a:r>
        </a:p>
        <a:p>
          <a:pPr algn="l"/>
          <a:r>
            <a:rPr lang="en-IN" sz="3200" b="0" i="0" u="none" strike="noStrike">
              <a:solidFill>
                <a:srgbClr val="7030A0"/>
              </a:solidFill>
              <a:effectLst/>
              <a:latin typeface="+mn-lt"/>
              <a:ea typeface="+mn-ea"/>
              <a:cs typeface="+mn-cs"/>
            </a:rPr>
            <a:t> </a:t>
          </a:r>
        </a:p>
        <a:p>
          <a:pPr algn="l"/>
          <a:r>
            <a:rPr lang="en-IN" sz="3200" b="0" i="0" u="none" strike="noStrike">
              <a:solidFill>
                <a:srgbClr val="7030A0"/>
              </a:solidFill>
              <a:effectLst/>
              <a:latin typeface="+mn-lt"/>
              <a:ea typeface="+mn-ea"/>
              <a:cs typeface="+mn-cs"/>
            </a:rPr>
            <a:t>      62905.02</a:t>
          </a:r>
          <a:r>
            <a:rPr lang="en-IN" sz="3200">
              <a:solidFill>
                <a:srgbClr val="7030A0"/>
              </a:solidFill>
              <a:effectLst/>
            </a:rPr>
            <a:t> </a:t>
          </a:r>
          <a:endParaRPr lang="en-IN" sz="3200">
            <a:solidFill>
              <a:srgbClr val="7030A0"/>
            </a:solidFill>
          </a:endParaRPr>
        </a:p>
      </xdr:txBody>
    </xdr:sp>
    <xdr:clientData/>
  </xdr:twoCellAnchor>
  <xdr:twoCellAnchor>
    <xdr:from>
      <xdr:col>15</xdr:col>
      <xdr:colOff>471714</xdr:colOff>
      <xdr:row>124</xdr:row>
      <xdr:rowOff>94796</xdr:rowOff>
    </xdr:from>
    <xdr:to>
      <xdr:col>17</xdr:col>
      <xdr:colOff>325029</xdr:colOff>
      <xdr:row>127</xdr:row>
      <xdr:rowOff>47171</xdr:rowOff>
    </xdr:to>
    <xdr:sp macro="" textlink="">
      <xdr:nvSpPr>
        <xdr:cNvPr id="18" name="Rectangle 17">
          <a:extLst>
            <a:ext uri="{FF2B5EF4-FFF2-40B4-BE49-F238E27FC236}">
              <a16:creationId xmlns:a16="http://schemas.microsoft.com/office/drawing/2014/main" id="{8E75235D-11AC-438F-BD4B-A03CE8D32AFC}"/>
            </a:ext>
          </a:extLst>
        </xdr:cNvPr>
        <xdr:cNvSpPr/>
      </xdr:nvSpPr>
      <xdr:spPr>
        <a:xfrm>
          <a:off x="13997214" y="22591939"/>
          <a:ext cx="2030458" cy="496661"/>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0" u="none" strike="noStrike">
              <a:solidFill>
                <a:schemeClr val="accent6">
                  <a:lumMod val="50000"/>
                </a:schemeClr>
              </a:solidFill>
              <a:effectLst/>
              <a:latin typeface="+mn-lt"/>
              <a:ea typeface="+mn-ea"/>
              <a:cs typeface="+mn-cs"/>
            </a:rPr>
            <a:t>Highest</a:t>
          </a:r>
          <a:r>
            <a:rPr lang="en-IN" sz="2000" b="1" i="0" u="none" strike="noStrike" baseline="0">
              <a:solidFill>
                <a:schemeClr val="accent6">
                  <a:lumMod val="50000"/>
                </a:schemeClr>
              </a:solidFill>
              <a:effectLst/>
              <a:latin typeface="+mn-lt"/>
              <a:ea typeface="+mn-ea"/>
              <a:cs typeface="+mn-cs"/>
            </a:rPr>
            <a:t> Price</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editAs="oneCell">
    <xdr:from>
      <xdr:col>15</xdr:col>
      <xdr:colOff>0</xdr:colOff>
      <xdr:row>115</xdr:row>
      <xdr:rowOff>0</xdr:rowOff>
    </xdr:from>
    <xdr:to>
      <xdr:col>16</xdr:col>
      <xdr:colOff>7619</xdr:colOff>
      <xdr:row>116</xdr:row>
      <xdr:rowOff>7620</xdr:rowOff>
    </xdr:to>
    <xdr:pic>
      <xdr:nvPicPr>
        <xdr:cNvPr id="19" name="Picture 18">
          <a:extLst>
            <a:ext uri="{FF2B5EF4-FFF2-40B4-BE49-F238E27FC236}">
              <a16:creationId xmlns:a16="http://schemas.microsoft.com/office/drawing/2014/main" id="{CEDAC7E4-6584-1B91-F6B7-A757C01CB3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506700" y="210312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258305</xdr:colOff>
      <xdr:row>17</xdr:row>
      <xdr:rowOff>146854</xdr:rowOff>
    </xdr:from>
    <xdr:to>
      <xdr:col>21</xdr:col>
      <xdr:colOff>1911457</xdr:colOff>
      <xdr:row>35</xdr:row>
      <xdr:rowOff>25830</xdr:rowOff>
    </xdr:to>
    <xdr:graphicFrame macro="">
      <xdr:nvGraphicFramePr>
        <xdr:cNvPr id="2" name="Chart 1">
          <a:extLst>
            <a:ext uri="{FF2B5EF4-FFF2-40B4-BE49-F238E27FC236}">
              <a16:creationId xmlns:a16="http://schemas.microsoft.com/office/drawing/2014/main" id="{105EC8BC-DBCB-4044-AA2B-0C1DDD9BC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461948</xdr:colOff>
      <xdr:row>38</xdr:row>
      <xdr:rowOff>50556</xdr:rowOff>
    </xdr:from>
    <xdr:to>
      <xdr:col>10</xdr:col>
      <xdr:colOff>159100</xdr:colOff>
      <xdr:row>56</xdr:row>
      <xdr:rowOff>157703</xdr:rowOff>
    </xdr:to>
    <xdr:graphicFrame macro="">
      <xdr:nvGraphicFramePr>
        <xdr:cNvPr id="3" name="Chart 2">
          <a:extLst>
            <a:ext uri="{FF2B5EF4-FFF2-40B4-BE49-F238E27FC236}">
              <a16:creationId xmlns:a16="http://schemas.microsoft.com/office/drawing/2014/main" id="{587FF1A0-28DA-4B06-8928-EC61A4AA9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363707</xdr:colOff>
      <xdr:row>17</xdr:row>
      <xdr:rowOff>24948</xdr:rowOff>
    </xdr:from>
    <xdr:to>
      <xdr:col>10</xdr:col>
      <xdr:colOff>73278</xdr:colOff>
      <xdr:row>34</xdr:row>
      <xdr:rowOff>103321</xdr:rowOff>
    </xdr:to>
    <xdr:graphicFrame macro="">
      <xdr:nvGraphicFramePr>
        <xdr:cNvPr id="4" name="Chart 3">
          <a:extLst>
            <a:ext uri="{FF2B5EF4-FFF2-40B4-BE49-F238E27FC236}">
              <a16:creationId xmlns:a16="http://schemas.microsoft.com/office/drawing/2014/main" id="{394E4388-541C-4BE5-8634-2C10505BB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58616</xdr:colOff>
      <xdr:row>38</xdr:row>
      <xdr:rowOff>35296</xdr:rowOff>
    </xdr:from>
    <xdr:to>
      <xdr:col>19</xdr:col>
      <xdr:colOff>107461</xdr:colOff>
      <xdr:row>57</xdr:row>
      <xdr:rowOff>156308</xdr:rowOff>
    </xdr:to>
    <xdr:graphicFrame macro="">
      <xdr:nvGraphicFramePr>
        <xdr:cNvPr id="5" name="Chart 4">
          <a:extLst>
            <a:ext uri="{FF2B5EF4-FFF2-40B4-BE49-F238E27FC236}">
              <a16:creationId xmlns:a16="http://schemas.microsoft.com/office/drawing/2014/main" id="{C5E93D3D-988D-442C-9461-2C7EF6881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406329</xdr:colOff>
      <xdr:row>6</xdr:row>
      <xdr:rowOff>53737</xdr:rowOff>
    </xdr:from>
    <xdr:to>
      <xdr:col>6</xdr:col>
      <xdr:colOff>67349</xdr:colOff>
      <xdr:row>14</xdr:row>
      <xdr:rowOff>106525</xdr:rowOff>
    </xdr:to>
    <xdr:sp macro="" textlink="">
      <xdr:nvSpPr>
        <xdr:cNvPr id="16" name="Rectangle 15">
          <a:extLst>
            <a:ext uri="{FF2B5EF4-FFF2-40B4-BE49-F238E27FC236}">
              <a16:creationId xmlns:a16="http://schemas.microsoft.com/office/drawing/2014/main" id="{E5F6136D-10F8-4587-8B7B-9464CDE91E3E}"/>
            </a:ext>
          </a:extLst>
        </xdr:cNvPr>
        <xdr:cNvSpPr/>
      </xdr:nvSpPr>
      <xdr:spPr>
        <a:xfrm>
          <a:off x="1023186" y="1142308"/>
          <a:ext cx="2745306" cy="1504217"/>
        </a:xfrm>
        <a:prstGeom prst="rect">
          <a:avLst/>
        </a:prstGeom>
        <a:solidFill>
          <a:schemeClr val="accent3">
            <a:lumMod val="40000"/>
            <a:lumOff val="60000"/>
          </a:schemeClr>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r>
            <a:rPr lang="en-IN" sz="3200">
              <a:effectLst/>
            </a:rPr>
            <a:t> </a:t>
          </a:r>
          <a:r>
            <a:rPr lang="en-IN" sz="3200" b="0" i="0" u="none" strike="noStrike">
              <a:solidFill>
                <a:srgbClr val="7030A0"/>
              </a:solidFill>
              <a:effectLst/>
              <a:latin typeface="+mn-lt"/>
              <a:ea typeface="+mn-ea"/>
              <a:cs typeface="+mn-cs"/>
            </a:rPr>
            <a:t>2.04624E+12</a:t>
          </a:r>
          <a:r>
            <a:rPr lang="en-IN" sz="3200">
              <a:solidFill>
                <a:srgbClr val="7030A0"/>
              </a:solidFill>
              <a:effectLst/>
            </a:rPr>
            <a:t> </a:t>
          </a:r>
          <a:endParaRPr lang="en-IN" sz="3200">
            <a:solidFill>
              <a:srgbClr val="7030A0"/>
            </a:solidFill>
          </a:endParaRPr>
        </a:p>
      </xdr:txBody>
    </xdr:sp>
    <xdr:clientData/>
  </xdr:twoCellAnchor>
  <xdr:twoCellAnchor>
    <xdr:from>
      <xdr:col>1</xdr:col>
      <xdr:colOff>592475</xdr:colOff>
      <xdr:row>7</xdr:row>
      <xdr:rowOff>114460</xdr:rowOff>
    </xdr:from>
    <xdr:to>
      <xdr:col>5</xdr:col>
      <xdr:colOff>470303</xdr:colOff>
      <xdr:row>10</xdr:row>
      <xdr:rowOff>57440</xdr:rowOff>
    </xdr:to>
    <xdr:sp macro="" textlink="">
      <xdr:nvSpPr>
        <xdr:cNvPr id="17" name="Rectangle 16">
          <a:extLst>
            <a:ext uri="{FF2B5EF4-FFF2-40B4-BE49-F238E27FC236}">
              <a16:creationId xmlns:a16="http://schemas.microsoft.com/office/drawing/2014/main" id="{0F1CE56A-6182-47B8-AF75-A37EBDF3B050}"/>
            </a:ext>
          </a:extLst>
        </xdr:cNvPr>
        <xdr:cNvSpPr/>
      </xdr:nvSpPr>
      <xdr:spPr>
        <a:xfrm>
          <a:off x="1209332" y="1384460"/>
          <a:ext cx="2345257" cy="487266"/>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accent6">
                  <a:lumMod val="50000"/>
                </a:schemeClr>
              </a:solidFill>
              <a:effectLst/>
              <a:latin typeface="+mn-lt"/>
              <a:ea typeface="+mn-ea"/>
              <a:cs typeface="+mn-cs"/>
            </a:rPr>
            <a:t>Sum of Market Cap</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6</xdr:col>
      <xdr:colOff>308949</xdr:colOff>
      <xdr:row>6</xdr:row>
      <xdr:rowOff>53986</xdr:rowOff>
    </xdr:from>
    <xdr:to>
      <xdr:col>10</xdr:col>
      <xdr:colOff>586826</xdr:colOff>
      <xdr:row>14</xdr:row>
      <xdr:rowOff>106775</xdr:rowOff>
    </xdr:to>
    <xdr:sp macro="" textlink="">
      <xdr:nvSpPr>
        <xdr:cNvPr id="18" name="Rectangle 17">
          <a:extLst>
            <a:ext uri="{FF2B5EF4-FFF2-40B4-BE49-F238E27FC236}">
              <a16:creationId xmlns:a16="http://schemas.microsoft.com/office/drawing/2014/main" id="{200FBC5F-D095-4207-B21D-C1809DF342C2}"/>
            </a:ext>
          </a:extLst>
        </xdr:cNvPr>
        <xdr:cNvSpPr/>
      </xdr:nvSpPr>
      <xdr:spPr>
        <a:xfrm>
          <a:off x="4010092" y="1142557"/>
          <a:ext cx="2745305" cy="1504218"/>
        </a:xfrm>
        <a:prstGeom prst="rect">
          <a:avLst/>
        </a:prstGeom>
        <a:solidFill>
          <a:schemeClr val="accent3">
            <a:lumMod val="40000"/>
            <a:lumOff val="60000"/>
          </a:schemeClr>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r>
            <a:rPr lang="en-IN" sz="3200">
              <a:effectLst/>
            </a:rPr>
            <a:t> </a:t>
          </a:r>
          <a:r>
            <a:rPr lang="en-IN" sz="3200" b="0" i="0" u="none" strike="noStrike">
              <a:solidFill>
                <a:srgbClr val="7030A0"/>
              </a:solidFill>
              <a:effectLst/>
              <a:latin typeface="+mn-lt"/>
              <a:ea typeface="+mn-ea"/>
              <a:cs typeface="+mn-cs"/>
            </a:rPr>
            <a:t>75333.41845</a:t>
          </a:r>
          <a:r>
            <a:rPr lang="en-IN" sz="3200">
              <a:solidFill>
                <a:srgbClr val="7030A0"/>
              </a:solidFill>
              <a:effectLst/>
            </a:rPr>
            <a:t> </a:t>
          </a:r>
          <a:endParaRPr lang="en-IN" sz="3200">
            <a:solidFill>
              <a:srgbClr val="7030A0"/>
            </a:solidFill>
          </a:endParaRPr>
        </a:p>
      </xdr:txBody>
    </xdr:sp>
    <xdr:clientData/>
  </xdr:twoCellAnchor>
  <xdr:twoCellAnchor>
    <xdr:from>
      <xdr:col>6</xdr:col>
      <xdr:colOff>522613</xdr:colOff>
      <xdr:row>7</xdr:row>
      <xdr:rowOff>81915</xdr:rowOff>
    </xdr:from>
    <xdr:to>
      <xdr:col>10</xdr:col>
      <xdr:colOff>400441</xdr:colOff>
      <xdr:row>10</xdr:row>
      <xdr:rowOff>25510</xdr:rowOff>
    </xdr:to>
    <xdr:sp macro="" textlink="">
      <xdr:nvSpPr>
        <xdr:cNvPr id="19" name="Rectangle 18">
          <a:extLst>
            <a:ext uri="{FF2B5EF4-FFF2-40B4-BE49-F238E27FC236}">
              <a16:creationId xmlns:a16="http://schemas.microsoft.com/office/drawing/2014/main" id="{200C6C21-8B3E-4FA7-B469-7565F05E2C7F}"/>
            </a:ext>
          </a:extLst>
        </xdr:cNvPr>
        <xdr:cNvSpPr/>
      </xdr:nvSpPr>
      <xdr:spPr>
        <a:xfrm>
          <a:off x="4223756" y="1351915"/>
          <a:ext cx="2345256" cy="487881"/>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accent6">
                  <a:lumMod val="50000"/>
                </a:schemeClr>
              </a:solidFill>
              <a:effectLst/>
              <a:latin typeface="+mn-lt"/>
              <a:ea typeface="+mn-ea"/>
              <a:cs typeface="+mn-cs"/>
            </a:rPr>
            <a:t>Sum of</a:t>
          </a:r>
          <a:r>
            <a:rPr lang="en-IN" sz="2000" b="1" i="0" u="none" strike="noStrike" baseline="0">
              <a:solidFill>
                <a:schemeClr val="accent6">
                  <a:lumMod val="50000"/>
                </a:schemeClr>
              </a:solidFill>
              <a:effectLst/>
              <a:latin typeface="+mn-lt"/>
              <a:ea typeface="+mn-ea"/>
              <a:cs typeface="+mn-cs"/>
            </a:rPr>
            <a:t> Total price </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11</xdr:col>
      <xdr:colOff>566989</xdr:colOff>
      <xdr:row>6</xdr:row>
      <xdr:rowOff>28155</xdr:rowOff>
    </xdr:from>
    <xdr:to>
      <xdr:col>16</xdr:col>
      <xdr:colOff>226196</xdr:colOff>
      <xdr:row>14</xdr:row>
      <xdr:rowOff>105782</xdr:rowOff>
    </xdr:to>
    <xdr:sp macro="" textlink="">
      <xdr:nvSpPr>
        <xdr:cNvPr id="20" name="Rectangle 19">
          <a:extLst>
            <a:ext uri="{FF2B5EF4-FFF2-40B4-BE49-F238E27FC236}">
              <a16:creationId xmlns:a16="http://schemas.microsoft.com/office/drawing/2014/main" id="{B6BEF33B-199D-4B7B-963B-CEC9C5E015BC}"/>
            </a:ext>
          </a:extLst>
        </xdr:cNvPr>
        <xdr:cNvSpPr/>
      </xdr:nvSpPr>
      <xdr:spPr>
        <a:xfrm>
          <a:off x="7352418" y="1116726"/>
          <a:ext cx="2743492" cy="1529056"/>
        </a:xfrm>
        <a:prstGeom prst="rect">
          <a:avLst/>
        </a:prstGeom>
        <a:solidFill>
          <a:schemeClr val="accent3">
            <a:lumMod val="40000"/>
            <a:lumOff val="60000"/>
          </a:schemeClr>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endParaRPr lang="en-IN" sz="1100" b="0" i="0" u="none" strike="noStrike">
            <a:solidFill>
              <a:srgbClr val="7030A0"/>
            </a:solidFill>
            <a:effectLst/>
            <a:latin typeface="+mn-lt"/>
            <a:ea typeface="+mn-ea"/>
            <a:cs typeface="+mn-cs"/>
          </a:endParaRPr>
        </a:p>
        <a:p>
          <a:pPr algn="l"/>
          <a:r>
            <a:rPr lang="en-IN" sz="3600" b="0" i="0" u="none" strike="noStrike">
              <a:solidFill>
                <a:srgbClr val="7030A0"/>
              </a:solidFill>
              <a:effectLst/>
              <a:latin typeface="+mn-lt"/>
              <a:ea typeface="+mn-ea"/>
              <a:cs typeface="+mn-cs"/>
            </a:rPr>
            <a:t>5.92318E+15</a:t>
          </a:r>
          <a:r>
            <a:rPr lang="en-IN" sz="3600">
              <a:solidFill>
                <a:srgbClr val="7030A0"/>
              </a:solidFill>
              <a:effectLst/>
            </a:rPr>
            <a:t> </a:t>
          </a:r>
          <a:endParaRPr lang="en-IN" sz="3600">
            <a:solidFill>
              <a:srgbClr val="7030A0"/>
            </a:solidFill>
          </a:endParaRPr>
        </a:p>
      </xdr:txBody>
    </xdr:sp>
    <xdr:clientData/>
  </xdr:twoCellAnchor>
  <xdr:twoCellAnchor>
    <xdr:from>
      <xdr:col>12</xdr:col>
      <xdr:colOff>39682</xdr:colOff>
      <xdr:row>6</xdr:row>
      <xdr:rowOff>181404</xdr:rowOff>
    </xdr:from>
    <xdr:to>
      <xdr:col>16</xdr:col>
      <xdr:colOff>61524</xdr:colOff>
      <xdr:row>9</xdr:row>
      <xdr:rowOff>124999</xdr:rowOff>
    </xdr:to>
    <xdr:sp macro="" textlink="">
      <xdr:nvSpPr>
        <xdr:cNvPr id="21" name="Rectangle 20">
          <a:extLst>
            <a:ext uri="{FF2B5EF4-FFF2-40B4-BE49-F238E27FC236}">
              <a16:creationId xmlns:a16="http://schemas.microsoft.com/office/drawing/2014/main" id="{F890779B-A18E-45E2-94D2-AB7CBDE7DC1C}"/>
            </a:ext>
          </a:extLst>
        </xdr:cNvPr>
        <xdr:cNvSpPr/>
      </xdr:nvSpPr>
      <xdr:spPr>
        <a:xfrm>
          <a:off x="7441968" y="1269975"/>
          <a:ext cx="2489270" cy="487881"/>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0" u="none" strike="noStrike">
              <a:solidFill>
                <a:schemeClr val="accent6">
                  <a:lumMod val="50000"/>
                </a:schemeClr>
              </a:solidFill>
              <a:effectLst/>
              <a:latin typeface="+mn-lt"/>
              <a:ea typeface="+mn-ea"/>
              <a:cs typeface="+mn-cs"/>
            </a:rPr>
            <a:t>Sum of Circulating Supply</a:t>
          </a:r>
          <a:r>
            <a:rPr lang="en-IN" sz="1600">
              <a:solidFill>
                <a:schemeClr val="accent6">
                  <a:lumMod val="50000"/>
                </a:schemeClr>
              </a:solidFill>
              <a:effectLst/>
            </a:rPr>
            <a:t> </a:t>
          </a:r>
          <a:endParaRPr lang="en-IN" sz="1600">
            <a:solidFill>
              <a:schemeClr val="accent6">
                <a:lumMod val="50000"/>
              </a:schemeClr>
            </a:solidFill>
          </a:endParaRPr>
        </a:p>
      </xdr:txBody>
    </xdr:sp>
    <xdr:clientData/>
  </xdr:twoCellAnchor>
  <xdr:twoCellAnchor>
    <xdr:from>
      <xdr:col>17</xdr:col>
      <xdr:colOff>132977</xdr:colOff>
      <xdr:row>5</xdr:row>
      <xdr:rowOff>166938</xdr:rowOff>
    </xdr:from>
    <xdr:to>
      <xdr:col>20</xdr:col>
      <xdr:colOff>1023542</xdr:colOff>
      <xdr:row>14</xdr:row>
      <xdr:rowOff>139988</xdr:rowOff>
    </xdr:to>
    <xdr:sp macro="" textlink="">
      <xdr:nvSpPr>
        <xdr:cNvPr id="24" name="Rectangle 23">
          <a:extLst>
            <a:ext uri="{FF2B5EF4-FFF2-40B4-BE49-F238E27FC236}">
              <a16:creationId xmlns:a16="http://schemas.microsoft.com/office/drawing/2014/main" id="{8BFAFE7E-DB5E-4785-AC27-397CE6B6C9E9}"/>
            </a:ext>
          </a:extLst>
        </xdr:cNvPr>
        <xdr:cNvSpPr/>
      </xdr:nvSpPr>
      <xdr:spPr>
        <a:xfrm>
          <a:off x="10619548" y="1074081"/>
          <a:ext cx="2741137" cy="1605907"/>
        </a:xfrm>
        <a:prstGeom prst="rect">
          <a:avLst/>
        </a:prstGeom>
        <a:solidFill>
          <a:schemeClr val="accent3">
            <a:lumMod val="40000"/>
            <a:lumOff val="60000"/>
          </a:schemeClr>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0" i="0" u="none" strike="noStrike" baseline="0">
              <a:solidFill>
                <a:srgbClr val="7030A0"/>
              </a:solidFill>
              <a:effectLst/>
              <a:latin typeface="+mn-lt"/>
              <a:ea typeface="+mn-ea"/>
              <a:cs typeface="+mn-cs"/>
            </a:rPr>
            <a:t>    </a:t>
          </a:r>
        </a:p>
        <a:p>
          <a:pPr algn="l"/>
          <a:r>
            <a:rPr lang="en-IN" sz="3200" b="0" i="0" u="none" strike="noStrike" baseline="0">
              <a:solidFill>
                <a:srgbClr val="7030A0"/>
              </a:solidFill>
              <a:effectLst/>
              <a:latin typeface="+mn-lt"/>
              <a:ea typeface="+mn-ea"/>
              <a:cs typeface="+mn-cs"/>
            </a:rPr>
            <a:t>         </a:t>
          </a:r>
        </a:p>
        <a:p>
          <a:pPr algn="l"/>
          <a:r>
            <a:rPr lang="en-IN" sz="3200" b="0" i="0" u="none" strike="noStrike" baseline="0">
              <a:solidFill>
                <a:srgbClr val="7030A0"/>
              </a:solidFill>
              <a:effectLst/>
              <a:latin typeface="+mn-lt"/>
              <a:ea typeface="+mn-ea"/>
              <a:cs typeface="+mn-cs"/>
            </a:rPr>
            <a:t>      </a:t>
          </a:r>
          <a:r>
            <a:rPr lang="en-IN" sz="3200" b="0" i="0" u="none" strike="noStrike">
              <a:solidFill>
                <a:srgbClr val="7030A0"/>
              </a:solidFill>
              <a:effectLst/>
              <a:latin typeface="+mn-lt"/>
              <a:ea typeface="+mn-ea"/>
              <a:cs typeface="+mn-cs"/>
            </a:rPr>
            <a:t>Bitcoin</a:t>
          </a:r>
          <a:r>
            <a:rPr lang="en-IN" sz="3200">
              <a:solidFill>
                <a:srgbClr val="7030A0"/>
              </a:solidFill>
              <a:effectLst/>
            </a:rPr>
            <a:t> </a:t>
          </a:r>
          <a:endParaRPr lang="en-IN" sz="3200">
            <a:solidFill>
              <a:srgbClr val="7030A0"/>
            </a:solidFill>
          </a:endParaRPr>
        </a:p>
      </xdr:txBody>
    </xdr:sp>
    <xdr:clientData/>
  </xdr:twoCellAnchor>
  <xdr:twoCellAnchor>
    <xdr:from>
      <xdr:col>17</xdr:col>
      <xdr:colOff>345325</xdr:colOff>
      <xdr:row>7</xdr:row>
      <xdr:rowOff>37940</xdr:rowOff>
    </xdr:from>
    <xdr:to>
      <xdr:col>20</xdr:col>
      <xdr:colOff>834341</xdr:colOff>
      <xdr:row>9</xdr:row>
      <xdr:rowOff>164303</xdr:rowOff>
    </xdr:to>
    <xdr:sp macro="" textlink="">
      <xdr:nvSpPr>
        <xdr:cNvPr id="25" name="Rectangle 24">
          <a:extLst>
            <a:ext uri="{FF2B5EF4-FFF2-40B4-BE49-F238E27FC236}">
              <a16:creationId xmlns:a16="http://schemas.microsoft.com/office/drawing/2014/main" id="{AF349F1D-486B-4FAC-9351-A5854C4D7802}"/>
            </a:ext>
          </a:extLst>
        </xdr:cNvPr>
        <xdr:cNvSpPr/>
      </xdr:nvSpPr>
      <xdr:spPr>
        <a:xfrm>
          <a:off x="10831896" y="1307940"/>
          <a:ext cx="2339588" cy="489220"/>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accent6">
                  <a:lumMod val="50000"/>
                </a:schemeClr>
              </a:solidFill>
              <a:effectLst/>
              <a:latin typeface="+mn-lt"/>
              <a:ea typeface="+mn-ea"/>
              <a:cs typeface="+mn-cs"/>
            </a:rPr>
            <a:t>Highest</a:t>
          </a:r>
          <a:r>
            <a:rPr lang="en-IN" sz="2000" b="1" i="0" u="none" strike="noStrike" baseline="0">
              <a:solidFill>
                <a:schemeClr val="accent6">
                  <a:lumMod val="50000"/>
                </a:schemeClr>
              </a:solidFill>
              <a:effectLst/>
              <a:latin typeface="+mn-lt"/>
              <a:ea typeface="+mn-ea"/>
              <a:cs typeface="+mn-cs"/>
            </a:rPr>
            <a:t> Price Coin</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20</xdr:col>
      <xdr:colOff>1517889</xdr:colOff>
      <xdr:row>5</xdr:row>
      <xdr:rowOff>178795</xdr:rowOff>
    </xdr:from>
    <xdr:to>
      <xdr:col>21</xdr:col>
      <xdr:colOff>1897005</xdr:colOff>
      <xdr:row>14</xdr:row>
      <xdr:rowOff>173302</xdr:rowOff>
    </xdr:to>
    <xdr:sp macro="" textlink="">
      <xdr:nvSpPr>
        <xdr:cNvPr id="26" name="Rectangle 25">
          <a:extLst>
            <a:ext uri="{FF2B5EF4-FFF2-40B4-BE49-F238E27FC236}">
              <a16:creationId xmlns:a16="http://schemas.microsoft.com/office/drawing/2014/main" id="{7F2DE964-5E00-4D42-807E-8771B23B92AC}"/>
            </a:ext>
          </a:extLst>
        </xdr:cNvPr>
        <xdr:cNvSpPr/>
      </xdr:nvSpPr>
      <xdr:spPr>
        <a:xfrm>
          <a:off x="13855032" y="1085938"/>
          <a:ext cx="3064259" cy="1627364"/>
        </a:xfrm>
        <a:prstGeom prst="rect">
          <a:avLst/>
        </a:prstGeom>
        <a:solidFill>
          <a:schemeClr val="accent3">
            <a:lumMod val="40000"/>
            <a:lumOff val="60000"/>
          </a:schemeClr>
        </a:solidFill>
        <a:ln>
          <a:solidFill>
            <a:srgbClr val="92D050"/>
          </a:solid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rgbClr val="7030A0"/>
              </a:solidFill>
              <a:effectLst/>
            </a:rPr>
            <a:t> </a:t>
          </a:r>
        </a:p>
        <a:p>
          <a:pPr algn="l"/>
          <a:r>
            <a:rPr lang="en-IN" sz="3200" b="0" i="0" u="none" strike="noStrike">
              <a:solidFill>
                <a:srgbClr val="7030A0"/>
              </a:solidFill>
              <a:effectLst/>
              <a:latin typeface="+mn-lt"/>
              <a:ea typeface="+mn-ea"/>
              <a:cs typeface="+mn-cs"/>
            </a:rPr>
            <a:t> </a:t>
          </a:r>
        </a:p>
        <a:p>
          <a:pPr algn="l"/>
          <a:r>
            <a:rPr lang="en-IN" sz="3200" b="0" i="0" u="none" strike="noStrike">
              <a:solidFill>
                <a:srgbClr val="7030A0"/>
              </a:solidFill>
              <a:effectLst/>
              <a:latin typeface="+mn-lt"/>
              <a:ea typeface="+mn-ea"/>
              <a:cs typeface="+mn-cs"/>
            </a:rPr>
            <a:t>      62905.02</a:t>
          </a:r>
          <a:r>
            <a:rPr lang="en-IN" sz="3200">
              <a:solidFill>
                <a:srgbClr val="7030A0"/>
              </a:solidFill>
              <a:effectLst/>
            </a:rPr>
            <a:t> </a:t>
          </a:r>
          <a:endParaRPr lang="en-IN" sz="3200">
            <a:solidFill>
              <a:srgbClr val="7030A0"/>
            </a:solidFill>
          </a:endParaRPr>
        </a:p>
      </xdr:txBody>
    </xdr:sp>
    <xdr:clientData/>
  </xdr:twoCellAnchor>
  <xdr:twoCellAnchor>
    <xdr:from>
      <xdr:col>20</xdr:col>
      <xdr:colOff>1808482</xdr:colOff>
      <xdr:row>7</xdr:row>
      <xdr:rowOff>5739</xdr:rowOff>
    </xdr:from>
    <xdr:to>
      <xdr:col>21</xdr:col>
      <xdr:colOff>1563669</xdr:colOff>
      <xdr:row>9</xdr:row>
      <xdr:rowOff>130764</xdr:rowOff>
    </xdr:to>
    <xdr:sp macro="" textlink="">
      <xdr:nvSpPr>
        <xdr:cNvPr id="27" name="Rectangle 26">
          <a:extLst>
            <a:ext uri="{FF2B5EF4-FFF2-40B4-BE49-F238E27FC236}">
              <a16:creationId xmlns:a16="http://schemas.microsoft.com/office/drawing/2014/main" id="{136E2799-FC23-4488-8084-6DECDEE9ED6A}"/>
            </a:ext>
          </a:extLst>
        </xdr:cNvPr>
        <xdr:cNvSpPr/>
      </xdr:nvSpPr>
      <xdr:spPr>
        <a:xfrm>
          <a:off x="14145625" y="1275739"/>
          <a:ext cx="2440330" cy="487882"/>
        </a:xfrm>
        <a:prstGeom prst="rect">
          <a:avLst/>
        </a:prstGeom>
        <a:solidFill>
          <a:schemeClr val="accent6">
            <a:lumMod val="20000"/>
            <a:lumOff val="80000"/>
          </a:schemeClr>
        </a:solidFill>
        <a:ln>
          <a:solidFill>
            <a:srgbClr val="FFFFFF"/>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0" u="none" strike="noStrike">
              <a:solidFill>
                <a:schemeClr val="accent6">
                  <a:lumMod val="50000"/>
                </a:schemeClr>
              </a:solidFill>
              <a:effectLst/>
              <a:latin typeface="+mn-lt"/>
              <a:ea typeface="+mn-ea"/>
              <a:cs typeface="+mn-cs"/>
            </a:rPr>
            <a:t>Highest</a:t>
          </a:r>
          <a:r>
            <a:rPr lang="en-IN" sz="2000" b="1" i="0" u="none" strike="noStrike" baseline="0">
              <a:solidFill>
                <a:schemeClr val="accent6">
                  <a:lumMod val="50000"/>
                </a:schemeClr>
              </a:solidFill>
              <a:effectLst/>
              <a:latin typeface="+mn-lt"/>
              <a:ea typeface="+mn-ea"/>
              <a:cs typeface="+mn-cs"/>
            </a:rPr>
            <a:t> Price</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editAs="oneCell">
    <xdr:from>
      <xdr:col>11</xdr:col>
      <xdr:colOff>167899</xdr:colOff>
      <xdr:row>18</xdr:row>
      <xdr:rowOff>25831</xdr:rowOff>
    </xdr:from>
    <xdr:to>
      <xdr:col>14</xdr:col>
      <xdr:colOff>477865</xdr:colOff>
      <xdr:row>35</xdr:row>
      <xdr:rowOff>25829</xdr:rowOff>
    </xdr:to>
    <mc:AlternateContent xmlns:mc="http://schemas.openxmlformats.org/markup-compatibility/2006">
      <mc:Choice xmlns:a14="http://schemas.microsoft.com/office/drawing/2010/main" Requires="a14">
        <xdr:graphicFrame macro="">
          <xdr:nvGraphicFramePr>
            <xdr:cNvPr id="28" name="Price (USD) 2">
              <a:extLst>
                <a:ext uri="{FF2B5EF4-FFF2-40B4-BE49-F238E27FC236}">
                  <a16:creationId xmlns:a16="http://schemas.microsoft.com/office/drawing/2014/main" id="{E270F56E-0A8E-409A-A7CF-A1D34A2CA8CC}"/>
                </a:ext>
              </a:extLst>
            </xdr:cNvPr>
            <xdr:cNvGraphicFramePr/>
          </xdr:nvGraphicFramePr>
          <xdr:xfrm>
            <a:off x="0" y="0"/>
            <a:ext cx="0" cy="0"/>
          </xdr:xfrm>
          <a:graphic>
            <a:graphicData uri="http://schemas.microsoft.com/office/drawing/2010/slicer">
              <sle:slicer xmlns:sle="http://schemas.microsoft.com/office/drawing/2010/slicer" name="Price (USD) 2"/>
            </a:graphicData>
          </a:graphic>
        </xdr:graphicFrame>
      </mc:Choice>
      <mc:Fallback>
        <xdr:sp macro="" textlink="">
          <xdr:nvSpPr>
            <xdr:cNvPr id="0" name=""/>
            <xdr:cNvSpPr>
              <a:spLocks noTextEdit="1"/>
            </xdr:cNvSpPr>
          </xdr:nvSpPr>
          <xdr:spPr>
            <a:xfrm>
              <a:off x="6900981" y="3398618"/>
              <a:ext cx="2146261" cy="3185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362857</xdr:colOff>
      <xdr:row>0</xdr:row>
      <xdr:rowOff>163286</xdr:rowOff>
    </xdr:from>
    <xdr:to>
      <xdr:col>22</xdr:col>
      <xdr:colOff>36285</xdr:colOff>
      <xdr:row>4</xdr:row>
      <xdr:rowOff>72572</xdr:rowOff>
    </xdr:to>
    <xdr:sp macro="" textlink="">
      <xdr:nvSpPr>
        <xdr:cNvPr id="29" name="Rectangle 28">
          <a:extLst>
            <a:ext uri="{FF2B5EF4-FFF2-40B4-BE49-F238E27FC236}">
              <a16:creationId xmlns:a16="http://schemas.microsoft.com/office/drawing/2014/main" id="{F87F1358-06A1-303B-DF37-8D65E77BC136}"/>
            </a:ext>
          </a:extLst>
        </xdr:cNvPr>
        <xdr:cNvSpPr/>
      </xdr:nvSpPr>
      <xdr:spPr>
        <a:xfrm>
          <a:off x="979714" y="163286"/>
          <a:ext cx="16002000" cy="6350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FFFF00"/>
              </a:solidFill>
            </a:rPr>
            <a:t>Crypro Analysis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ITH" refreshedDate="46240.475569560185" createdVersion="8" refreshedVersion="8" minRefreshableVersion="3" recordCount="300" xr:uid="{CAC0749B-937B-4304-99F7-F5CC7CD40900}">
  <cacheSource type="worksheet">
    <worksheetSource name="Sheet1"/>
  </cacheSource>
  <cacheFields count="7">
    <cacheField name="Coin Name" numFmtId="0">
      <sharedItems count="300">
        <s v="CoinMarketCap 20 Index DTF"/>
        <s v="Bitcoin"/>
        <s v="Ethereum"/>
        <s v="Tether"/>
        <s v="BNB"/>
        <s v="USDC"/>
        <s v="XRP"/>
        <s v="Solana"/>
        <s v="TRON"/>
        <s v="Hyperliquid"/>
        <s v="Dogecoin"/>
        <s v="UNUS SED LEO"/>
        <s v="Zcash"/>
        <s v="Monero"/>
        <s v="Cardano"/>
        <s v="LayerZero"/>
        <s v="AINFT"/>
        <s v="BitTorrent [New]"/>
        <s v="KAITO"/>
        <s v="Jito"/>
        <s v="Bitcoin SV"/>
        <s v="Stacks"/>
        <s v="Pendle"/>
        <s v="Monad"/>
        <s v="Bonk"/>
        <s v="Decred"/>
        <s v="Conflux"/>
        <s v="Tezos"/>
        <s v="JasmyCoin"/>
        <s v="Immutable"/>
        <s v="Rain"/>
        <s v="Decimal"/>
        <s v="Ondo US Dollar Yield"/>
        <s v="HTX"/>
        <s v="Falcon USD"/>
        <s v="USDGO"/>
        <s v="c8ntinuum"/>
        <s v="Jupiter Perps LP"/>
        <s v="Beldex"/>
        <s v="GHO"/>
        <s v="Usual USD"/>
        <s v="Solstice USX"/>
        <s v="USDai"/>
        <s v="Unibase"/>
        <s v="Ducky"/>
        <s v="Ravencoin"/>
        <s v="Pharos"/>
        <s v="Jelly-My-Jelly"/>
        <s v="Billions Network"/>
        <s v="ZIGChain"/>
        <s v="Baby Doge Coin"/>
        <s v="Magma Finance"/>
        <s v="Kusama"/>
        <s v="Allora"/>
        <s v="Turbo"/>
        <s v="aPriori"/>
        <s v="OpenLedger"/>
        <s v="Nano"/>
        <s v="Theta Fuel"/>
        <s v="FUNToken"/>
        <s v="NVIDIA Tokenized Stock (Ondo)"/>
        <s v="Peanut the Squirrel"/>
        <s v="Ronin"/>
        <s v="BitDCA"/>
        <s v="Threshold"/>
        <s v="Irys"/>
        <s v="Mog Coin"/>
        <s v="Gemini Dollar"/>
        <s v="Brett (Based)"/>
        <s v="Creditcoin"/>
        <s v="Eurite"/>
        <s v="Orochi Network"/>
        <s v="Celo"/>
        <s v="Tellor"/>
        <s v="Paycoin"/>
        <s v="Asteroid Shiba"/>
        <s v="Nockchain"/>
        <s v="Mango"/>
        <s v="USDK"/>
        <s v="Hims &amp; Hers Health Tokenized Stock (Ondo)"/>
        <s v="Wiki Cat"/>
        <s v="WINkLink"/>
        <s v="Siacoin"/>
        <s v="Dusk"/>
        <s v="Impossible Cloud Network"/>
        <s v="Manta Network"/>
        <s v="Semicon Bull 3X ETF Tokenized bStocks"/>
        <s v="Block Street"/>
        <s v="Bancor"/>
        <s v="Anoma"/>
        <s v="Illuvium"/>
        <s v="Somnia"/>
        <s v="GMT"/>
        <s v="Micron Tokenized Stock (Reality)"/>
        <s v="Chia"/>
        <s v="IoTeX"/>
        <s v="MetaMask USD"/>
        <s v="SanDisk Tokenized Stock (Reality)"/>
        <s v="Steem"/>
        <s v="OpenAI_x000a_Pre-IPO stock (Republic)"/>
        <s v="Wibx"/>
        <s v="Sapien"/>
        <s v="RollX"/>
        <s v="TokenPocket"/>
        <s v="Ontology Gas"/>
        <s v="Infinex"/>
        <s v="STBL"/>
        <s v="Bless"/>
        <s v="Fulcrom Finance"/>
        <s v="Araracoin"/>
        <s v="Blast"/>
        <s v="Velodrome Finance"/>
        <s v="WalletConnect Token"/>
        <s v="Marvell Technology Tokenized Stock (Ondo)"/>
        <s v="RIZE"/>
        <s v="Humidifi"/>
        <s v="TAC Protocol"/>
        <s v="Adshares"/>
        <s v="Yei Finance"/>
        <s v="GameBuild"/>
        <s v="Aurora"/>
        <s v="Firo"/>
        <s v="SoFi Technologies Tokenized Stock (Ondo)"/>
        <s v="Pythia"/>
        <s v="Radworks"/>
        <s v="Metadium"/>
        <s v="Strategy Tokenized bStocks"/>
        <s v="USDB"/>
        <s v="iShares Gold Trust Tokenized ETF (Ondo)"/>
        <s v="OG Fan Token"/>
        <s v="SaucerSwap"/>
        <s v="Orchid"/>
        <s v="Bitcoin Diamond"/>
        <s v="XSGD"/>
        <s v="Tesla Tokenized bStocks"/>
        <s v="Hegic"/>
        <s v="Maverick Protocol"/>
        <s v="Nexa (nexaagent.xyz)"/>
        <s v="AITECH Cloud Network"/>
        <s v="Boba Network"/>
        <s v="Clash of Lilliput"/>
        <s v="Decentrawood"/>
        <s v="Nebius Tokenized bStocks"/>
        <s v="Dolomite"/>
        <s v="Intuition"/>
        <s v="KernelDAO"/>
        <s v="Ninja Squad Token"/>
        <s v="Jimothy The Raccoon"/>
        <s v="Moonbeam"/>
        <s v="Fartboy"/>
        <s v="Drift"/>
        <s v="AS Roma Fan Token"/>
        <s v="Tradoor"/>
        <s v="Applied Optoelectronics Tokenized bStocks"/>
        <s v="MyShell"/>
        <s v="AVA"/>
        <s v="SpaceX tokenized stock (Backpack)"/>
        <s v="iShares MSCI Emerging Markets Tokenized ETF (Ondo)"/>
        <s v="StablR Euro"/>
        <s v="Haedal Protocol"/>
        <s v="Venus DAI"/>
        <s v="DACXI"/>
        <s v="Balancer"/>
        <s v="Pepecoin"/>
        <s v="FC Barcelona Fan Token"/>
        <s v="Grove"/>
        <s v="Layer3"/>
        <s v="Hyperion"/>
        <s v="RACA"/>
        <s v="Tradr 2X Long SNDK ETF Tokenized bStocks"/>
        <s v="MAP Protocol"/>
        <s v="SymVerse (symverse.org)"/>
        <s v="Elastos"/>
        <s v="Mamo"/>
        <s v="Broadcom Tokenized Stock (Ondo)"/>
        <s v="Alltoscan"/>
        <s v="Treehouse"/>
        <s v="Bitlight"/>
        <s v="Utrust"/>
        <s v="Save"/>
        <s v="Edel"/>
        <s v="Viction"/>
        <s v="MAGIC•INTERNET•MONEY (Bitcoin)"/>
        <s v="Lockheed Tokenized Stock (Ondo)"/>
        <s v="Lingo"/>
        <s v="NEM"/>
        <s v="MonaCoin"/>
        <s v="Bytecoin"/>
        <s v="AIVille Governance Token"/>
        <s v="RSS3"/>
        <s v="HOPR"/>
        <s v="Galeon"/>
        <s v="ARAI"/>
        <s v="CateCoin"/>
        <s v="PlatON"/>
        <s v="Ampleforth Governance Token"/>
        <s v="VitaDAO"/>
        <s v="Roundhill Memory ETF Tokenized ETF (Ondo)"/>
        <s v="AST SpaceMobile Tokenized Stock (Ondo)"/>
        <s v="Ren"/>
        <s v="World3"/>
        <s v="Marina Protocol"/>
        <s v="Djed"/>
        <s v="Alibaba Tokenized Stock (Ondo)"/>
        <s v="CESS Network"/>
        <s v="GAIB"/>
        <s v="Gems"/>
        <s v="Advanced Micro Devices Tokenized bStocks"/>
        <s v="Odos"/>
        <s v="Purple Pepe"/>
        <s v="PeiPei (ETH)"/>
        <s v="Suku"/>
        <s v="IMPT"/>
        <s v="Book of Ethereum"/>
        <s v="Forest Protocol"/>
        <s v="Meta Tokenized Stock (Reality)"/>
        <s v="Not Pixel"/>
        <s v="VOOI"/>
        <s v="MATH"/>
        <s v="GOLDAO"/>
        <s v="Aleph Zero"/>
        <s v="Vara Network"/>
        <s v="EarthMeta"/>
        <s v="Tectum"/>
        <s v="Bellscoin"/>
        <s v="DOWGE"/>
        <s v="Flying Tulip"/>
        <s v="TSMC Tokenized Stock (Reality)"/>
        <s v="AXT Tokenized bStocks"/>
        <s v="ProShares UltraPro QQQ Tokenized bStocks"/>
        <s v="Numbers Protocol"/>
        <s v="Alibaba Tokenized bStocks"/>
        <s v="Qualcomm Tokenized bStocks"/>
        <s v="Streamflow"/>
        <s v="WYDE: End Hunger"/>
        <s v="LIBRA"/>
        <s v="Sharp"/>
        <s v="Jesus Coin"/>
        <s v="Humans.ai"/>
        <s v="BORGY"/>
        <s v="Vertical AI"/>
        <s v="KiboShib"/>
        <s v="Bitcicoin"/>
        <s v="Coinbase Tokenized Stock (Reality)"/>
        <s v="Dora Factory"/>
        <s v="BioPassport Token"/>
        <s v="toyow"/>
        <s v="Argentine Football Association Fan Token"/>
        <s v="Xterio"/>
        <s v="Reserve AI Infrastructure Tokenized DTF"/>
        <s v="MIA"/>
        <s v="HI"/>
        <s v="Reserve AI Photonics Tokenized DTF"/>
        <s v="Rarible"/>
        <s v="GALAXIA"/>
        <s v="Wells Fargo Tokenized Stock (Ondo)"/>
        <s v="Real Briefly"/>
        <s v="Tenset"/>
        <s v="Mastercard Tokenized Stock (Ondo)"/>
        <s v="Chamber"/>
        <s v="Defactor"/>
        <s v="Tottenham Hotspur Fan Token"/>
        <s v="Make Aliens Great Again"/>
        <s v="Perpetual Protocol"/>
        <s v="The White Whale"/>
        <s v="GemHUB"/>
        <s v="RENEC"/>
        <s v="ShibaDoge"/>
        <s v="Cypherium"/>
        <s v="Adappter Token"/>
        <s v="Hoge Finance"/>
        <s v="POOH"/>
        <s v="Portugal National Team Fan Token"/>
        <s v="Saros"/>
        <s v="Hachiko"/>
        <s v="HashAI"/>
        <s v="HyperGPT"/>
        <s v="UNCX Network"/>
        <s v="Radiant"/>
        <s v="LayerX"/>
        <s v="Bloom Energy Tokenized bStocks"/>
        <s v="Hoppy (hoppy.vip)"/>
        <s v="Nietzschean Penguin"/>
        <s v="NuNet"/>
        <s v="GameFi.org"/>
        <s v="Lit Protocol"/>
        <s v="CatSlap"/>
        <s v="DeepBrain Chain"/>
        <s v="Rocket Lab Tokenized bStocks"/>
        <s v="ScPrime"/>
        <s v="DeepNode"/>
        <s v="SideShift Token"/>
        <s v="Amazon Tokenized bStocks"/>
        <s v="HODL"/>
        <s v="OpenGPU"/>
        <s v="GraniteShares 2X Long MRVL ETF Tokenized bStocks"/>
        <s v="Blocksquare Token"/>
        <s v="Sportbet.one Token"/>
        <s v="ShareToken"/>
        <s v="NanoByte Token"/>
      </sharedItems>
    </cacheField>
    <cacheField name="Symbol" numFmtId="0">
      <sharedItems/>
    </cacheField>
    <cacheField name="Price (USD)" numFmtId="0">
      <sharedItems containsSemiMixedTypes="0" containsString="0" containsNumber="1" minValue="0" maxValue="62905.02" count="248">
        <n v="127.69"/>
        <n v="62905.02"/>
        <n v="1861.07"/>
        <n v="0.999"/>
        <n v="586.66999999999996"/>
        <n v="0.99980000000000002"/>
        <n v="1.06"/>
        <n v="72.87"/>
        <n v="0.32579999999999998"/>
        <n v="52.77"/>
        <n v="6.9400000000000003E-2"/>
        <n v="9.75"/>
        <n v="455.74"/>
        <n v="354.89"/>
        <n v="0.16869999999999999"/>
        <n v="0.7379"/>
        <n v="6.2700000000000006E-2"/>
        <n v="6.2600000000000003E-2"/>
        <n v="1.05"/>
        <n v="0.50609999999999999"/>
        <n v="12.58"/>
        <n v="0.13880000000000001"/>
        <n v="1.44"/>
        <n v="2.07E-2"/>
        <n v="5.28E-2"/>
        <n v="13.16"/>
        <n v="4.2799999999999998E-2"/>
        <n v="0.20019999999999999"/>
        <n v="4.3E-3"/>
        <n v="0.1062"/>
        <n v="1.2699999999999999E-2"/>
        <n v="0.7339"/>
        <n v="1.1399999999999999"/>
        <n v="5.1799999999999999E-2"/>
        <n v="0.99519999999999997"/>
        <n v="1"/>
        <n v="0.1946"/>
        <n v="3.55"/>
        <n v="8.2500000000000004E-2"/>
        <n v="0.99829999999999997"/>
        <n v="0.99929999999999997"/>
        <n v="0.99950000000000006"/>
        <n v="0.15809999999999999"/>
        <n v="5.9999999999999995E-4"/>
        <n v="3.5999999999999999E-3"/>
        <n v="0.42949999999999999"/>
        <n v="5.7799999999999997E-2"/>
        <n v="2.3800000000000002E-2"/>
        <n v="0.04"/>
        <n v="9.3100000000000002E-2"/>
        <n v="0.29160000000000003"/>
        <n v="2.95"/>
        <n v="0.27189999999999998"/>
        <n v="8.0000000000000004E-4"/>
        <n v="0.19450000000000001"/>
        <n v="0.1736"/>
        <n v="0.40310000000000001"/>
        <n v="7.3000000000000001E-3"/>
        <n v="4.8999999999999998E-3"/>
        <n v="200.13"/>
        <n v="3.8899999999999997E-2"/>
        <n v="5.04E-2"/>
        <n v="0.47439999999999999"/>
        <n v="3.5000000000000001E-3"/>
        <n v="1.5100000000000001E-2"/>
        <n v="7.9899999999999999E-2"/>
        <n v="3.8999999999999998E-3"/>
        <n v="7.0000000000000007E-2"/>
        <n v="1.1499999999999999"/>
        <n v="0.26400000000000001"/>
        <n v="6.2799999999999995E-2"/>
        <n v="13.52"/>
        <n v="3.5299999999999998E-2"/>
        <n v="1E-4"/>
        <n v="2.5600000000000001E-2"/>
        <n v="27.67"/>
        <n v="7.5300000000000006E-2"/>
        <n v="0"/>
        <n v="5.0000000000000001E-4"/>
        <n v="5.6800000000000003E-2"/>
        <n v="0.11070000000000001"/>
        <n v="5.8599999999999999E-2"/>
        <n v="113.71"/>
        <n v="0.11799999999999999"/>
        <n v="0.26240000000000002"/>
        <n v="1.11E-2"/>
        <n v="2.83"/>
        <n v="8.48E-2"/>
        <n v="6.6E-3"/>
        <n v="819.57"/>
        <n v="1.42"/>
        <n v="2.2000000000000001E-3"/>
        <n v="1211.4100000000001"/>
        <n v="3.6600000000000001E-2"/>
        <n v="697.68"/>
        <n v="1.6999999999999999E-3"/>
        <n v="8.0399999999999999E-2"/>
        <n v="0.12959999999999999"/>
        <n v="5.7999999999999996E-3"/>
        <n v="4.2000000000000003E-2"/>
        <n v="8.0000000000000002E-3"/>
        <n v="2.2700000000000001E-2"/>
        <n v="8.2000000000000007E-3"/>
        <n v="8.9999999999999998E-4"/>
        <n v="4.0000000000000002E-4"/>
        <n v="2.0000000000000001E-4"/>
        <n v="1.7299999999999999E-2"/>
        <n v="3.6400000000000002E-2"/>
        <n v="187.9"/>
        <n v="7.9000000000000008E-3"/>
        <n v="6.7699999999999996E-2"/>
        <n v="3.2000000000000002E-3"/>
        <n v="0.40110000000000001"/>
        <n v="0.11890000000000001"/>
        <n v="1.6799999999999999E-2"/>
        <n v="0.64429999999999998"/>
        <n v="16.260000000000002"/>
        <n v="1.21E-2"/>
        <n v="0.20369999999999999"/>
        <n v="6.8999999999999999E-3"/>
        <n v="92.99"/>
        <n v="0.99690000000000001"/>
        <n v="75.760000000000005"/>
        <n v="2.5"/>
        <n v="1.29E-2"/>
        <n v="1.1900000000000001E-2"/>
        <n v="6.3200000000000006E-2"/>
        <n v="0.77969999999999995"/>
        <n v="310.04000000000002"/>
        <n v="1.3599999999999999E-2"/>
        <n v="0.94079999999999997"/>
        <n v="5.1999999999999998E-3"/>
        <n v="1.8800000000000001E-2"/>
        <n v="0.1129"/>
        <n v="1.6E-2"/>
        <n v="189.95"/>
        <n v="2.0799999999999999E-2"/>
        <n v="5.11E-2"/>
        <n v="3.2000000000000001E-2"/>
        <n v="9.1999999999999998E-3"/>
        <n v="7.6E-3"/>
        <n v="0.84689999999999999"/>
        <n v="0.51459999999999995"/>
        <n v="93.78"/>
        <n v="1.7999999999999999E-2"/>
        <n v="7.4000000000000003E-3"/>
        <n v="108.07"/>
        <n v="64.97"/>
        <n v="0.60899999999999999"/>
        <n v="1.4999999999999999E-2"/>
        <n v="2.6200000000000001E-2"/>
        <n v="0.10150000000000001"/>
        <n v="0.26919999999999999"/>
        <n v="9.5999999999999992E-3"/>
        <n v="4.5999999999999999E-3"/>
        <n v="0.1628"/>
        <n v="9.3000000000000007"/>
        <n v="3.44E-2"/>
        <n v="0.24560000000000001"/>
        <n v="9.4000000000000004E-3"/>
        <n v="389.13"/>
        <n v="7.6399999999999996E-2"/>
        <n v="3.5999999999999997E-2"/>
        <n v="0.13020000000000001"/>
        <n v="0.1221"/>
        <n v="7.1000000000000004E-3"/>
        <n v="3.4200000000000001E-2"/>
        <n v="592.08000000000004"/>
        <n v="8.8999999999999999E-3"/>
        <n v="6.54E-2"/>
        <n v="1.5E-3"/>
        <n v="1.24E-2"/>
        <n v="5.1000000000000004E-3"/>
        <n v="2.86E-2"/>
        <n v="7.7299999999999994E-2"/>
        <n v="0.22889999999999999"/>
        <n v="0.22939999999999999"/>
        <n v="50.02"/>
        <n v="58.92"/>
        <n v="3.3E-3"/>
        <n v="9.7000000000000003E-3"/>
        <n v="1.6500000000000001E-2"/>
        <n v="123.11"/>
        <n v="1.1999999999999999E-3"/>
        <n v="5.4999999999999997E-3"/>
        <n v="479.08"/>
        <n v="8.6300000000000002E-2"/>
        <n v="4.0000000000000001E-3"/>
        <n v="1.8E-3"/>
        <n v="2.7099999999999999E-2"/>
        <n v="2.2200000000000001E-2"/>
        <n v="554.79999999999995"/>
        <n v="1.32E-2"/>
        <n v="7.4999999999999997E-3"/>
        <n v="2.2499999999999999E-2"/>
        <n v="0.25609999999999999"/>
        <n v="4.1300000000000003E-2"/>
        <n v="2E-3"/>
        <n v="9.9400000000000002E-2"/>
        <n v="404.09"/>
        <n v="59.16"/>
        <n v="64.08"/>
        <n v="121.88"/>
        <n v="147.44"/>
        <n v="7.7999999999999996E-3"/>
        <n v="6.7000000000000002E-3"/>
        <n v="6.9999999999999999E-4"/>
        <n v="7.1300000000000002E-2"/>
        <n v="2.9999999999999997E-4"/>
        <n v="1.6199999999999999E-2"/>
        <n v="5.16E-2"/>
        <n v="145.94"/>
        <n v="3.0000000000000001E-3"/>
        <n v="6.6100000000000006E-2"/>
        <n v="8.0999999999999996E-3"/>
        <n v="85.33"/>
        <n v="1.3100000000000001E-2"/>
        <n v="76.34"/>
        <n v="8.0799999999999997E-2"/>
        <n v="86.51"/>
        <n v="9.2999999999999992E-3"/>
        <n v="575.01"/>
        <n v="2.3699999999999999E-2"/>
        <n v="4.7999999999999996E-3"/>
        <n v="9.7100000000000006E-2"/>
        <n v="1.2999999999999999E-3"/>
        <n v="1.9400000000000001E-2"/>
        <n v="2.5000000000000001E-3"/>
        <n v="3.5499999999999997E-2"/>
        <n v="1.61E-2"/>
        <n v="5.2699999999999997E-2"/>
        <n v="8.1100000000000005E-2"/>
        <n v="1.1000000000000001E-3"/>
        <n v="22.49"/>
        <n v="206.65"/>
        <n v="5.2499999999999998E-2"/>
        <n v="1E-3"/>
        <n v="2.0999999999999999E-3"/>
        <n v="6.9699999999999998E-2"/>
        <n v="64.62"/>
        <n v="1.83E-2"/>
        <n v="3.8800000000000001E-2"/>
        <n v="6.1000000000000004E-3"/>
        <n v="270.94"/>
        <n v="4.4299999999999999E-2"/>
        <n v="20.239999999999998"/>
        <n v="1.41E-2"/>
        <n v="6.7999999999999996E-3"/>
      </sharedItems>
    </cacheField>
    <cacheField name="1h Change (%)" numFmtId="0">
      <sharedItems containsSemiMixedTypes="0" containsString="0" containsNumber="1" minValue="0" maxValue="16.46" count="119">
        <n v="0.16"/>
        <n v="0.01"/>
        <n v="0.27"/>
        <n v="0.21"/>
        <n v="0.06"/>
        <n v="0.24"/>
        <n v="0.03"/>
        <n v="0.92"/>
        <n v="0.41"/>
        <n v="0"/>
        <n v="0.22"/>
        <n v="0.57999999999999996"/>
        <n v="0.85"/>
        <n v="0.2"/>
        <n v="0.82"/>
        <n v="0.18"/>
        <n v="1.45"/>
        <n v="0.46"/>
        <n v="0.47"/>
        <n v="0.4"/>
        <n v="0.39"/>
        <n v="0.02"/>
        <n v="0.42"/>
        <n v="0.13"/>
        <n v="0.84"/>
        <n v="0.34"/>
        <n v="0.19"/>
        <n v="1.1299999999999999"/>
        <n v="1.1399999999999999"/>
        <n v="0.1"/>
        <n v="0.08"/>
        <n v="0.11"/>
        <n v="0.59"/>
        <n v="0.31"/>
        <n v="0.43"/>
        <n v="0.09"/>
        <n v="1.03"/>
        <n v="0.36"/>
        <n v="0.76"/>
        <n v="0.14000000000000001"/>
        <n v="0.12"/>
        <n v="0.23"/>
        <n v="1.96"/>
        <n v="0.66"/>
        <n v="0.81"/>
        <n v="1.01"/>
        <n v="0.28999999999999998"/>
        <n v="1.98"/>
        <n v="4.53"/>
        <n v="0.28000000000000003"/>
        <n v="0.77"/>
        <n v="0.69"/>
        <n v="0.33"/>
        <n v="0.75"/>
        <n v="0.51"/>
        <n v="0.37"/>
        <n v="7.0000000000000007E-2"/>
        <n v="0.17"/>
        <n v="0.91"/>
        <n v="0.62"/>
        <n v="0.35"/>
        <n v="0.38"/>
        <n v="2.62"/>
        <n v="0.83"/>
        <n v="0.05"/>
        <n v="0.53"/>
        <n v="1.04"/>
        <n v="4.3499999999999996"/>
        <n v="0.88"/>
        <n v="0.54"/>
        <n v="0.78"/>
        <n v="1.23"/>
        <n v="0.26"/>
        <n v="0.25"/>
        <n v="3.06"/>
        <n v="0.15"/>
        <n v="3.01"/>
        <n v="0.99"/>
        <n v="1.8"/>
        <n v="1.07"/>
        <n v="0.56999999999999995"/>
        <n v="0.32"/>
        <n v="1.53"/>
        <n v="1"/>
        <n v="5.57"/>
        <n v="1.17"/>
        <n v="0.87"/>
        <n v="0.3"/>
        <n v="3.85"/>
        <n v="0.98"/>
        <n v="0.48"/>
        <n v="0.04"/>
        <n v="2.42"/>
        <n v="0.52"/>
        <n v="1.25"/>
        <n v="2.37"/>
        <n v="0.61"/>
        <n v="1.75"/>
        <n v="0.67"/>
        <n v="1.29"/>
        <n v="1.92"/>
        <n v="2.2599999999999998"/>
        <n v="0.63"/>
        <n v="1.36"/>
        <n v="0.71"/>
        <n v="9.1999999999999993"/>
        <n v="5.66"/>
        <n v="0.55000000000000004"/>
        <n v="1.1499999999999999"/>
        <n v="3.39"/>
        <n v="0.7"/>
        <n v="16.46"/>
        <n v="1.42"/>
        <n v="0.74"/>
        <n v="0.95"/>
        <n v="0.56000000000000005"/>
        <n v="0.5"/>
        <n v="2.02"/>
        <n v="4.4800000000000004"/>
      </sharedItems>
    </cacheField>
    <cacheField name="Market Cap" numFmtId="0">
      <sharedItems containsSemiMixedTypes="0" containsString="0" containsNumber="1" containsInteger="1" minValue="861080" maxValue="1260000000000"/>
    </cacheField>
    <cacheField name="Volume (24h)" numFmtId="0">
      <sharedItems containsString="0" containsBlank="1" containsNumber="1" minValue="23.89" maxValue="56830000000"/>
    </cacheField>
    <cacheField name="Circulating Supply" numFmtId="0">
      <sharedItems containsString="0" containsBlank="1" containsNumber="1" containsInteger="1" minValue="2250" maxValue="990100000000000"/>
    </cacheField>
  </cacheFields>
  <extLst>
    <ext xmlns:x14="http://schemas.microsoft.com/office/spreadsheetml/2009/9/main" uri="{725AE2AE-9491-48be-B2B4-4EB974FC3084}">
      <x14:pivotCacheDefinition pivotCacheId="704207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ITH" refreshedDate="46240.519843055554" createdVersion="8" refreshedVersion="8" minRefreshableVersion="3" recordCount="300" xr:uid="{48ACF8CC-E568-411F-ACB9-CEBB74C52379}">
  <cacheSource type="worksheet">
    <worksheetSource name="Table2"/>
  </cacheSource>
  <cacheFields count="10">
    <cacheField name="Coin Name" numFmtId="0">
      <sharedItems count="300">
        <s v="CoinMarketCap 20 Index DTF"/>
        <s v="Bitcoin"/>
        <s v="Ethereum"/>
        <s v="Tether"/>
        <s v="BNB"/>
        <s v="USDC"/>
        <s v="XRP"/>
        <s v="Solana"/>
        <s v="TRON"/>
        <s v="Hyperliquid"/>
        <s v="Dogecoin"/>
        <s v="UNUS SED LEO"/>
        <s v="Zcash"/>
        <s v="Monero"/>
        <s v="Cardano"/>
        <s v="LayerZero"/>
        <s v="AINFT"/>
        <s v="BitTorrent [New]"/>
        <s v="KAITO"/>
        <s v="Jito"/>
        <s v="Bitcoin SV"/>
        <s v="Stacks"/>
        <s v="Pendle"/>
        <s v="Monad"/>
        <s v="Bonk"/>
        <s v="Decred"/>
        <s v="Conflux"/>
        <s v="Tezos"/>
        <s v="JasmyCoin"/>
        <s v="Immutable"/>
        <s v="Rain"/>
        <s v="Decimal"/>
        <s v="Ondo US Dollar Yield"/>
        <s v="HTX"/>
        <s v="Falcon USD"/>
        <s v="USDGO"/>
        <s v="c8ntinuum"/>
        <s v="Jupiter Perps LP"/>
        <s v="Beldex"/>
        <s v="GHO"/>
        <s v="Usual USD"/>
        <s v="Solstice USX"/>
        <s v="USDai"/>
        <s v="Unibase"/>
        <s v="Ducky"/>
        <s v="Ravencoin"/>
        <s v="Pharos"/>
        <s v="Jelly-My-Jelly"/>
        <s v="Billions Network"/>
        <s v="ZIGChain"/>
        <s v="Baby Doge Coin"/>
        <s v="Magma Finance"/>
        <s v="Kusama"/>
        <s v="Allora"/>
        <s v="Turbo"/>
        <s v="aPriori"/>
        <s v="OpenLedger"/>
        <s v="Nano"/>
        <s v="Theta Fuel"/>
        <s v="FUNToken"/>
        <s v="NVIDIA Tokenized Stock (Ondo)"/>
        <s v="Peanut the Squirrel"/>
        <s v="Ronin"/>
        <s v="BitDCA"/>
        <s v="Threshold"/>
        <s v="Irys"/>
        <s v="Mog Coin"/>
        <s v="Gemini Dollar"/>
        <s v="Brett (Based)"/>
        <s v="Creditcoin"/>
        <s v="Eurite"/>
        <s v="Orochi Network"/>
        <s v="Celo"/>
        <s v="Tellor"/>
        <s v="Paycoin"/>
        <s v="Asteroid Shiba"/>
        <s v="Nockchain"/>
        <s v="Mango"/>
        <s v="USDK"/>
        <s v="Hims &amp; Hers Health Tokenized Stock (Ondo)"/>
        <s v="Wiki Cat"/>
        <s v="WINkLink"/>
        <s v="Siacoin"/>
        <s v="Dusk"/>
        <s v="Impossible Cloud Network"/>
        <s v="Manta Network"/>
        <s v="Semicon Bull 3X ETF Tokenized bStocks"/>
        <s v="Block Street"/>
        <s v="Bancor"/>
        <s v="Anoma"/>
        <s v="Illuvium"/>
        <s v="Somnia"/>
        <s v="GMT"/>
        <s v="Micron Tokenized Stock (Reality)"/>
        <s v="Chia"/>
        <s v="IoTeX"/>
        <s v="MetaMask USD"/>
        <s v="SanDisk Tokenized Stock (Reality)"/>
        <s v="Steem"/>
        <s v="OpenAI_x000a_Pre-IPO stock (Republic)"/>
        <s v="Wibx"/>
        <s v="Sapien"/>
        <s v="RollX"/>
        <s v="TokenPocket"/>
        <s v="Ontology Gas"/>
        <s v="Infinex"/>
        <s v="STBL"/>
        <s v="Bless"/>
        <s v="Fulcrom Finance"/>
        <s v="Araracoin"/>
        <s v="Blast"/>
        <s v="Velodrome Finance"/>
        <s v="WalletConnect Token"/>
        <s v="Marvell Technology Tokenized Stock (Ondo)"/>
        <s v="RIZE"/>
        <s v="Humidifi"/>
        <s v="TAC Protocol"/>
        <s v="Adshares"/>
        <s v="Yei Finance"/>
        <s v="GameBuild"/>
        <s v="Aurora"/>
        <s v="Firo"/>
        <s v="SoFi Technologies Tokenized Stock (Ondo)"/>
        <s v="Pythia"/>
        <s v="Radworks"/>
        <s v="Metadium"/>
        <s v="Strategy Tokenized bStocks"/>
        <s v="USDB"/>
        <s v="iShares Gold Trust Tokenized ETF (Ondo)"/>
        <s v="OG Fan Token"/>
        <s v="SaucerSwap"/>
        <s v="Orchid"/>
        <s v="Bitcoin Diamond"/>
        <s v="XSGD"/>
        <s v="Tesla Tokenized bStocks"/>
        <s v="Hegic"/>
        <s v="Maverick Protocol"/>
        <s v="Nexa (nexaagent.xyz)"/>
        <s v="AITECH Cloud Network"/>
        <s v="Boba Network"/>
        <s v="Clash of Lilliput"/>
        <s v="Decentrawood"/>
        <s v="Nebius Tokenized bStocks"/>
        <s v="Dolomite"/>
        <s v="Intuition"/>
        <s v="KernelDAO"/>
        <s v="Ninja Squad Token"/>
        <s v="Jimothy The Raccoon"/>
        <s v="Moonbeam"/>
        <s v="Fartboy"/>
        <s v="Drift"/>
        <s v="AS Roma Fan Token"/>
        <s v="Tradoor"/>
        <s v="Applied Optoelectronics Tokenized bStocks"/>
        <s v="MyShell"/>
        <s v="AVA"/>
        <s v="SpaceX tokenized stock (Backpack)"/>
        <s v="iShares MSCI Emerging Markets Tokenized ETF (Ondo)"/>
        <s v="StablR Euro"/>
        <s v="Haedal Protocol"/>
        <s v="Venus DAI"/>
        <s v="DACXI"/>
        <s v="Balancer"/>
        <s v="Pepecoin"/>
        <s v="FC Barcelona Fan Token"/>
        <s v="Grove"/>
        <s v="Layer3"/>
        <s v="Hyperion"/>
        <s v="RACA"/>
        <s v="Tradr 2X Long SNDK ETF Tokenized bStocks"/>
        <s v="MAP Protocol"/>
        <s v="SymVerse (symverse.org)"/>
        <s v="Elastos"/>
        <s v="Mamo"/>
        <s v="Broadcom Tokenized Stock (Ondo)"/>
        <s v="Alltoscan"/>
        <s v="Treehouse"/>
        <s v="Bitlight"/>
        <s v="Utrust"/>
        <s v="Save"/>
        <s v="Edel"/>
        <s v="Viction"/>
        <s v="MAGIC•INTERNET•MONEY (Bitcoin)"/>
        <s v="Lockheed Tokenized Stock (Ondo)"/>
        <s v="Lingo"/>
        <s v="NEM"/>
        <s v="MonaCoin"/>
        <s v="Bytecoin"/>
        <s v="AIVille Governance Token"/>
        <s v="RSS3"/>
        <s v="HOPR"/>
        <s v="Galeon"/>
        <s v="ARAI"/>
        <s v="CateCoin"/>
        <s v="PlatON"/>
        <s v="Ampleforth Governance Token"/>
        <s v="VitaDAO"/>
        <s v="Roundhill Memory ETF Tokenized ETF (Ondo)"/>
        <s v="AST SpaceMobile Tokenized Stock (Ondo)"/>
        <s v="Ren"/>
        <s v="World3"/>
        <s v="Marina Protocol"/>
        <s v="Djed"/>
        <s v="Alibaba Tokenized Stock (Ondo)"/>
        <s v="CESS Network"/>
        <s v="GAIB"/>
        <s v="Gems"/>
        <s v="Advanced Micro Devices Tokenized bStocks"/>
        <s v="Odos"/>
        <s v="Purple Pepe"/>
        <s v="PeiPei (ETH)"/>
        <s v="Suku"/>
        <s v="IMPT"/>
        <s v="Book of Ethereum"/>
        <s v="Forest Protocol"/>
        <s v="Meta Tokenized Stock (Reality)"/>
        <s v="Not Pixel"/>
        <s v="VOOI"/>
        <s v="MATH"/>
        <s v="GOLDAO"/>
        <s v="Aleph Zero"/>
        <s v="Vara Network"/>
        <s v="EarthMeta"/>
        <s v="Tectum"/>
        <s v="Bellscoin"/>
        <s v="DOWGE"/>
        <s v="Flying Tulip"/>
        <s v="TSMC Tokenized Stock (Reality)"/>
        <s v="AXT Tokenized bStocks"/>
        <s v="ProShares UltraPro QQQ Tokenized bStocks"/>
        <s v="Numbers Protocol"/>
        <s v="Alibaba Tokenized bStocks"/>
        <s v="Qualcomm Tokenized bStocks"/>
        <s v="Streamflow"/>
        <s v="WYDE: End Hunger"/>
        <s v="LIBRA"/>
        <s v="Sharp"/>
        <s v="Jesus Coin"/>
        <s v="Humans.ai"/>
        <s v="BORGY"/>
        <s v="Vertical AI"/>
        <s v="KiboShib"/>
        <s v="Bitcicoin"/>
        <s v="Coinbase Tokenized Stock (Reality)"/>
        <s v="Dora Factory"/>
        <s v="BioPassport Token"/>
        <s v="toyow"/>
        <s v="Argentine Football Association Fan Token"/>
        <s v="Xterio"/>
        <s v="Reserve AI Infrastructure Tokenized DTF"/>
        <s v="MIA"/>
        <s v="HI"/>
        <s v="Reserve AI Photonics Tokenized DTF"/>
        <s v="Rarible"/>
        <s v="GALAXIA"/>
        <s v="Wells Fargo Tokenized Stock (Ondo)"/>
        <s v="Real Briefly"/>
        <s v="Tenset"/>
        <s v="Mastercard Tokenized Stock (Ondo)"/>
        <s v="Chamber"/>
        <s v="Defactor"/>
        <s v="Tottenham Hotspur Fan Token"/>
        <s v="Make Aliens Great Again"/>
        <s v="Perpetual Protocol"/>
        <s v="The White Whale"/>
        <s v="GemHUB"/>
        <s v="RENEC"/>
        <s v="ShibaDoge"/>
        <s v="Cypherium"/>
        <s v="Adappter Token"/>
        <s v="Hoge Finance"/>
        <s v="POOH"/>
        <s v="Portugal National Team Fan Token"/>
        <s v="Saros"/>
        <s v="Hachiko"/>
        <s v="HashAI"/>
        <s v="HyperGPT"/>
        <s v="UNCX Network"/>
        <s v="Radiant"/>
        <s v="LayerX"/>
        <s v="Bloom Energy Tokenized bStocks"/>
        <s v="Hoppy (hoppy.vip)"/>
        <s v="Nietzschean Penguin"/>
        <s v="NuNet"/>
        <s v="GameFi.org"/>
        <s v="Lit Protocol"/>
        <s v="CatSlap"/>
        <s v="DeepBrain Chain"/>
        <s v="Rocket Lab Tokenized bStocks"/>
        <s v="ScPrime"/>
        <s v="DeepNode"/>
        <s v="SideShift Token"/>
        <s v="Amazon Tokenized bStocks"/>
        <s v="HODL"/>
        <s v="OpenGPU"/>
        <s v="GraniteShares 2X Long MRVL ETF Tokenized bStocks"/>
        <s v="Blocksquare Token"/>
        <s v="Sportbet.one Token"/>
        <s v="ShareToken"/>
        <s v="NanoByte Token"/>
      </sharedItems>
    </cacheField>
    <cacheField name="Symbol" numFmtId="0">
      <sharedItems count="299">
        <s v="CMC20"/>
        <s v="BTC"/>
        <s v="ETH"/>
        <s v="USDT"/>
        <s v="BNB"/>
        <s v="USDC"/>
        <s v="XRP"/>
        <s v="SOL"/>
        <s v="TRX"/>
        <s v="HYPE"/>
        <s v="DOGE"/>
        <s v="LEO"/>
        <s v="ZEC"/>
        <s v="XMR"/>
        <s v="ADA"/>
        <s v="ZRO"/>
        <s v="NFT"/>
        <s v="BTT"/>
        <s v="KAITO"/>
        <s v="JTO"/>
        <s v="BSV"/>
        <s v="STX"/>
        <s v="PENDLE"/>
        <s v="MON"/>
        <s v="BONK"/>
        <s v="DCR"/>
        <s v="CFX"/>
        <s v="XTZ"/>
        <s v="JASMY"/>
        <s v="IMX"/>
        <s v="RAIN"/>
        <s v="DEL"/>
        <s v="USDY"/>
        <s v="HTX"/>
        <s v="USDf"/>
        <s v="USDGO"/>
        <s v="CTM"/>
        <s v="JLP"/>
        <s v="BDX"/>
        <s v="GHO"/>
        <s v="USD0"/>
        <s v="USX"/>
        <s v="USDAI"/>
        <s v="UB"/>
        <s v="DUCKY"/>
        <s v="RVN"/>
        <s v="PROS"/>
        <s v="JELLYJELLY"/>
        <s v="BILL"/>
        <s v="ZIG"/>
        <s v="BabyDoge"/>
        <s v="MAGMA"/>
        <s v="KSM"/>
        <s v="ALLO"/>
        <s v="TURBO"/>
        <s v="APR"/>
        <s v="OPEN"/>
        <s v="XNO"/>
        <s v="TFUEL"/>
        <s v="FUN"/>
        <s v="NVDAon"/>
        <s v="PNUT"/>
        <s v="RON"/>
        <s v="BDCA"/>
        <s v="T"/>
        <s v="IRYS"/>
        <s v="MOG"/>
        <s v="GUSD"/>
        <s v="BRETT"/>
        <s v="CTC"/>
        <s v="EURI"/>
        <s v="ON"/>
        <s v="CELO"/>
        <s v="TRB"/>
        <s v="PCI"/>
        <s v="ASTEROID"/>
        <s v="NOCK"/>
        <s v="MNGO"/>
        <s v="USDK"/>
        <s v="HIMSon"/>
        <s v="WKC"/>
        <s v="WIN"/>
        <s v="SC"/>
        <s v="DUSK"/>
        <s v="ICNT"/>
        <s v="MANTA"/>
        <s v="SOXLB"/>
        <s v="BSB"/>
        <s v="BNT"/>
        <s v="XAN"/>
        <s v="ILV"/>
        <s v="SOMI"/>
        <s v="GMT"/>
        <s v="rMU"/>
        <s v="XCH"/>
        <s v="IOTX"/>
        <s v="mUSD"/>
        <s v="rSNDK"/>
        <s v="STEEM"/>
        <s v="preOPAI"/>
        <s v="WBX"/>
        <s v="SAPIEN"/>
        <s v="ROLL"/>
        <s v="TPT"/>
        <s v="ONG"/>
        <s v="INX"/>
        <s v="STBL"/>
        <s v="BLESS"/>
        <s v="FUL"/>
        <s v="ARARA"/>
        <s v="BLAST"/>
        <s v="VELO"/>
        <s v="WCT"/>
        <s v="MRVLon"/>
        <s v="RIZE"/>
        <s v="WET"/>
        <s v="TAC"/>
        <s v="ADS"/>
        <s v="CLO"/>
        <s v="GAME"/>
        <s v="AURORA"/>
        <s v="FIRO"/>
        <s v="SOFIon"/>
        <s v="PYTHIA"/>
        <s v="RAD"/>
        <s v="META"/>
        <s v="MSTRB"/>
        <s v="USDB"/>
        <s v="IAUon"/>
        <s v="OG"/>
        <s v="SAUCE"/>
        <s v="OXT"/>
        <s v="BCD"/>
        <s v="XSGD"/>
        <s v="TSLAB"/>
        <s v="HEGIC"/>
        <s v="MAV"/>
        <s v="NXA"/>
        <s v="ACN"/>
        <s v="BOBA"/>
        <s v="COL"/>
        <s v="DEOD"/>
        <s v="NBISB"/>
        <s v="DOLO"/>
        <s v="TRUST"/>
        <s v="KERNEL"/>
        <s v="NST"/>
        <s v="JIMOTHY"/>
        <s v="GLMR"/>
        <s v="FARTBOY"/>
        <s v="DRIFT"/>
        <s v="ASR"/>
        <s v="TRADOOR"/>
        <s v="AAOIB"/>
        <s v="SHELL"/>
        <s v="AVA"/>
        <s v="SPCX"/>
        <s v="EEMon"/>
        <s v="EURR"/>
        <s v="HAEDAL"/>
        <s v="vDAI"/>
        <s v="DXI"/>
        <s v="BAL"/>
        <s v="PEP"/>
        <s v="BAR"/>
        <s v="GROVE"/>
        <s v="L3"/>
        <s v="RION"/>
        <s v="RACA"/>
        <s v="SNXXB"/>
        <s v="MAPO"/>
        <s v="SYMM"/>
        <s v="ELA"/>
        <s v="MAMO"/>
        <s v="AVGOon"/>
        <s v="ATS"/>
        <s v="TREE"/>
        <s v="LIGHT"/>
        <s v="UTK"/>
        <s v="SAVE"/>
        <s v="EDEL"/>
        <s v="VIC"/>
        <s v="MIM"/>
        <s v="LMTon"/>
        <s v="LINGO"/>
        <s v="XEM"/>
        <s v="MONA"/>
        <s v="BCN"/>
        <s v="AIV"/>
        <s v="RSS3"/>
        <s v="HOPR"/>
        <s v="GALEON"/>
        <s v="AA"/>
        <s v="CATE"/>
        <s v="LAT"/>
        <s v="FORTH"/>
        <s v="VITA"/>
        <s v="DRAMon"/>
        <s v="ASTSon"/>
        <s v="REN"/>
        <s v="WAI"/>
        <s v="BAY"/>
        <s v="DJED"/>
        <s v="BABAon"/>
        <s v="CESS"/>
        <s v="GAIB"/>
        <s v="GEMS"/>
        <s v="AMDB"/>
        <s v="ODOS"/>
        <s v="$PURPE"/>
        <s v="PEIPEI"/>
        <s v="SUKU"/>
        <s v="IMPT"/>
        <s v="BOOE"/>
        <s v="FOREST"/>
        <s v="rMETA"/>
        <s v="PX"/>
        <s v="VOOI"/>
        <s v="MATH"/>
        <s v="GOLDAO"/>
        <s v="AZERO"/>
        <s v="VARA"/>
        <s v="EMT"/>
        <s v="TET"/>
        <s v="BELLS"/>
        <s v="DJI6930"/>
        <s v="FT"/>
        <s v="rTSM"/>
        <s v="AXTIB"/>
        <s v="TQQQB"/>
        <s v="NUM"/>
        <s v="BABAB"/>
        <s v="QCOMB"/>
        <s v="STREAM"/>
        <s v="EAT"/>
        <s v="LIBRA"/>
        <s v="SHARP"/>
        <s v="JESUS"/>
        <s v="HEART"/>
        <s v="BORGY"/>
        <s v="VERTAI"/>
        <s v="KIBSHI"/>
        <s v="BITCI"/>
        <s v="rCOIN"/>
        <s v="DORA"/>
        <s v="BIOT"/>
        <s v="TTN"/>
        <s v="ARG"/>
        <s v="XTER"/>
        <s v="BUILDOUT"/>
        <s v="MIA"/>
        <s v="HI"/>
        <s v="PHOTON"/>
        <s v="RARI"/>
        <s v="GXA"/>
        <s v="WFCon"/>
        <s v="REAL"/>
        <s v="10SET"/>
        <s v="MAon"/>
        <s v="DHT"/>
        <s v="SPURS"/>
        <s v="MAGA"/>
        <s v="PERP"/>
        <s v="WHITEWHALE"/>
        <s v="GHUB"/>
        <s v="RENEC"/>
        <s v="SHIBDOGE"/>
        <s v="CPH"/>
        <s v="ADP"/>
        <s v="HOGE"/>
        <s v="POOH"/>
        <s v="POR"/>
        <s v="SAROS"/>
        <s v="$HACHI"/>
        <s v="HASHAI"/>
        <s v="HGPT"/>
        <s v="UNCX"/>
        <s v="RXD"/>
        <s v="LX"/>
        <s v="BEB"/>
        <s v="HOPPY"/>
        <s v="PENGUIN"/>
        <s v="NTX"/>
        <s v="GAFI"/>
        <s v="LITKEY"/>
        <s v="SLAP"/>
        <s v="DBC"/>
        <s v="RKLBB"/>
        <s v="SCP"/>
        <s v="DN"/>
        <s v="XAI"/>
        <s v="AMZNB"/>
        <s v="HODL"/>
        <s v="OGPU"/>
        <s v="MVLLB"/>
        <s v="BST"/>
        <s v="SBET"/>
        <s v="SHR"/>
        <s v="NBT"/>
      </sharedItems>
    </cacheField>
    <cacheField name="Price (USD)" numFmtId="0">
      <sharedItems containsSemiMixedTypes="0" containsString="0" containsNumber="1" minValue="1.2469999999999999E-5" maxValue="62905.02" count="294">
        <n v="127.69"/>
        <n v="62905.02"/>
        <n v="1861.07"/>
        <n v="0.999"/>
        <n v="586.66999999999996"/>
        <n v="0.99980000000000002"/>
        <n v="1.06"/>
        <n v="72.87"/>
        <n v="0.32579999999999998"/>
        <n v="52.77"/>
        <n v="6.9449999999999998E-2"/>
        <n v="9.75"/>
        <n v="455.74"/>
        <n v="354.89"/>
        <n v="0.16869999999999999"/>
        <n v="0.7379"/>
        <n v="6.2690999999999997E-2"/>
        <n v="6.2614000000000003E-2"/>
        <n v="1.05"/>
        <n v="0.50609999999999999"/>
        <n v="12.58"/>
        <n v="0.13880000000000001"/>
        <n v="1.44"/>
        <n v="2.07E-2"/>
        <n v="5.2774000000000001E-2"/>
        <n v="13.16"/>
        <n v="4.2750000000000003E-2"/>
        <n v="0.20019999999999999"/>
        <n v="4.3010000000000001E-3"/>
        <n v="0.1062"/>
        <n v="1.2749999999999999E-2"/>
        <n v="0.7339"/>
        <n v="1.1399999999999999"/>
        <n v="5.1778999999999999E-2"/>
        <n v="0.99519999999999997"/>
        <n v="1"/>
        <n v="0.1946"/>
        <n v="3.55"/>
        <n v="8.2500000000000004E-2"/>
        <n v="0.99829999999999997"/>
        <n v="0.99929999999999997"/>
        <n v="0.99950000000000006"/>
        <n v="0.15809999999999999"/>
        <n v="6.2890000000000005E-4"/>
        <n v="3.5760000000000002E-3"/>
        <n v="0.42949999999999999"/>
        <n v="5.7820000000000003E-2"/>
        <n v="2.3769999999999999E-2"/>
        <n v="4.002E-2"/>
        <n v="9.3123999999999998E-2"/>
        <n v="0.29160000000000003"/>
        <n v="2.95"/>
        <n v="0.27189999999999998"/>
        <n v="7.9080000000000003E-4"/>
        <n v="0.19450000000000001"/>
        <n v="0.1736"/>
        <n v="0.40310000000000001"/>
        <n v="7.2519999999999998E-3"/>
        <n v="4.9430000000000003E-3"/>
        <n v="200.13"/>
        <n v="3.8929999999999999E-2"/>
        <n v="5.0360000000000002E-2"/>
        <n v="0.47439999999999999"/>
        <n v="3.4810000000000002E-3"/>
        <n v="1.5089999999999999E-2"/>
        <n v="7.9890000000000003E-2"/>
        <n v="3.8549999999999999E-3"/>
        <n v="6.9989999999999997E-2"/>
        <n v="1.1499999999999999"/>
        <n v="0.26400000000000001"/>
        <n v="6.2759999999999996E-2"/>
        <n v="13.52"/>
        <n v="3.5349999999999999E-2"/>
        <n v="6.758E-5"/>
        <n v="1.268E-2"/>
        <n v="2.5579999999999999E-2"/>
        <n v="27.67"/>
        <n v="7.5296000000000002E-2"/>
        <n v="2.853E-5"/>
        <n v="5.0370000000000005E-4"/>
        <n v="5.6770000000000001E-2"/>
        <n v="0.11070000000000001"/>
        <n v="5.8599999999999999E-2"/>
        <n v="113.71"/>
        <n v="0.11799999999999999"/>
        <n v="0.26240000000000002"/>
        <n v="1.112E-2"/>
        <n v="2.83"/>
        <n v="8.4809999999999997E-2"/>
        <n v="6.6230000000000004E-3"/>
        <n v="819.57"/>
        <n v="1.42"/>
        <n v="2.1710000000000002E-3"/>
        <n v="1211.4100000000001"/>
        <n v="3.662E-2"/>
        <n v="697.68"/>
        <n v="1.7149999999999999E-3"/>
        <n v="8.0439999999999998E-2"/>
        <n v="0.12959999999999999"/>
        <n v="5.7889999999999999E-3"/>
        <n v="4.1950000000000001E-2"/>
        <n v="8.0309999999999999E-3"/>
        <n v="2.2710000000000001E-2"/>
        <n v="8.1779999999999995E-3"/>
        <n v="9.4950000000000004E-4"/>
        <n v="4.371E-4"/>
        <n v="2.3809999999999999E-4"/>
        <n v="1.7270000000000001E-2"/>
        <n v="3.6360000000000003E-2"/>
        <n v="187.9"/>
        <n v="7.9100000000000004E-3"/>
        <n v="6.7729999999999999E-2"/>
        <n v="3.2139999999999998E-3"/>
        <n v="0.40110000000000001"/>
        <n v="0.11890000000000001"/>
        <n v="7.9699999999999997E-4"/>
        <n v="1.678E-2"/>
        <n v="0.64429999999999998"/>
        <n v="16.260000000000002"/>
        <n v="1.2070000000000001E-2"/>
        <n v="0.20369999999999999"/>
        <n v="6.8960000000000002E-3"/>
        <n v="92.99"/>
        <n v="0.99690000000000001"/>
        <n v="75.760000000000005"/>
        <n v="2.5"/>
        <n v="1.294E-2"/>
        <n v="1.1860000000000001E-2"/>
        <n v="6.3210000000000002E-2"/>
        <n v="0.77969999999999995"/>
        <n v="310.04000000000002"/>
        <n v="1.357E-2"/>
        <n v="8.0409999999999995E-3"/>
        <n v="0.94079999999999997"/>
        <n v="5.2350000000000001E-3"/>
        <n v="1.883E-2"/>
        <n v="0.1129"/>
        <n v="1.6049999999999998E-2"/>
        <n v="189.95"/>
        <n v="2.0840000000000001E-2"/>
        <n v="5.11E-2"/>
        <n v="3.2039999999999999E-2"/>
        <n v="9.1819999999999992E-3"/>
        <n v="7.6010000000000001E-3"/>
        <n v="9.1590000000000005E-3"/>
        <n v="1.213E-2"/>
        <n v="0.84689999999999999"/>
        <n v="0.51459999999999995"/>
        <n v="93.78"/>
        <n v="1.8020000000000001E-2"/>
        <n v="7.3530000000000002E-3"/>
        <n v="108.07"/>
        <n v="64.97"/>
        <n v="0.60899999999999999"/>
        <n v="1.4959999999999999E-2"/>
        <n v="2.6179999999999998E-2"/>
        <n v="8.4909999999999998E-4"/>
        <n v="0.10150000000000001"/>
        <n v="6.8819999999999995E-5"/>
        <n v="0.26919999999999999"/>
        <n v="9.6360000000000005E-3"/>
        <n v="4.5970000000000004E-3"/>
        <n v="0.1628"/>
        <n v="1.3859999999999999E-5"/>
        <n v="9.3000000000000007"/>
        <n v="9.1100000000000003E-4"/>
        <n v="3.4360000000000002E-2"/>
        <n v="0.24560000000000001"/>
        <n v="9.4490000000000008E-3"/>
        <n v="389.13"/>
        <n v="7.6429999999999998E-2"/>
        <n v="3.5970000000000002E-2"/>
        <n v="0.13020000000000001"/>
        <n v="7.9419999999999994E-3"/>
        <n v="0.1221"/>
        <n v="7.1089999999999999E-3"/>
        <n v="3.4180000000000002E-2"/>
        <n v="2.075E-4"/>
        <n v="592.08000000000004"/>
        <n v="8.8850000000000005E-3"/>
        <n v="4.797E-4"/>
        <n v="6.5409999999999996E-2"/>
        <n v="2.3269999999999999E-5"/>
        <n v="1.5399999999999999E-3"/>
        <n v="4.5849999999999997E-3"/>
        <n v="1.2409999999999999E-2"/>
        <n v="5.1229999999999999E-3"/>
        <n v="2.8570000000000002E-2"/>
        <n v="7.7348E-2"/>
        <n v="6.0490000000000001E-4"/>
        <n v="0.22889999999999999"/>
        <n v="0.22939999999999999"/>
        <n v="50.02"/>
        <n v="58.92"/>
        <n v="3.323E-3"/>
        <n v="9.7230000000000007E-3"/>
        <n v="1.6469999999999999E-2"/>
        <n v="123.11"/>
        <n v="1.2409999999999999E-3"/>
        <n v="1.6039999999999999E-2"/>
        <n v="5.4860000000000004E-3"/>
        <n v="479.08"/>
        <n v="8.9829999999999999E-4"/>
        <n v="5.7838000000000001E-2"/>
        <n v="8.6289000000000005E-2"/>
        <n v="3.9560000000000003E-3"/>
        <n v="1.8370000000000001E-3"/>
        <n v="2.7140000000000001E-2"/>
        <n v="2.222E-2"/>
        <n v="554.79999999999995"/>
        <n v="1.3220000000000001E-2"/>
        <n v="7.4700000000000001E-3"/>
        <n v="2.248E-2"/>
        <n v="3.2399999999999998E-3"/>
        <n v="9.5829999999999995E-3"/>
        <n v="4.2739999999999998E-4"/>
        <n v="1.7700000000000001E-3"/>
        <n v="0.25609999999999999"/>
        <n v="4.1340000000000002E-2"/>
        <n v="2.0470000000000002E-3"/>
        <n v="9.937E-2"/>
        <n v="404.09"/>
        <n v="59.16"/>
        <n v="64.08"/>
        <n v="2.2469999999999999E-3"/>
        <n v="121.88"/>
        <n v="147.44"/>
        <n v="7.8100000000000001E-3"/>
        <n v="1.9570000000000001E-4"/>
        <n v="6.6740000000000002E-3"/>
        <n v="7.4410000000000003E-4"/>
        <n v="7.1318000000000006E-2"/>
        <n v="2.541E-4"/>
        <n v="2.5559999999999999E-5"/>
        <n v="1.6209999999999999E-2"/>
        <n v="5.1614E-2"/>
        <n v="2.087E-4"/>
        <n v="145.94"/>
        <n v="2.98E-3"/>
        <n v="1.817E-4"/>
        <n v="6.6140000000000004E-2"/>
        <n v="8.4830000000000003E-2"/>
        <n v="8.0689999999999998E-3"/>
        <n v="85.33"/>
        <n v="1.306E-2"/>
        <n v="2.544E-5"/>
        <n v="76.34"/>
        <n v="8.0759999999999998E-2"/>
        <n v="6.1070000000000004E-4"/>
        <n v="86.51"/>
        <n v="1.9589999999999998E-3"/>
        <n v="9.2689999999999995E-3"/>
        <n v="575.01"/>
        <n v="2.3650000000000001E-2"/>
        <n v="4.7910000000000001E-3"/>
        <n v="9.708E-2"/>
        <n v="1.307E-3"/>
        <n v="1.9359999999999999E-2"/>
        <n v="1.2780000000000001E-3"/>
        <n v="2.5330000000000001E-3"/>
        <n v="3.5459999999999998E-2"/>
        <n v="1.6102100000000001E-2"/>
        <n v="3.3140000000000001E-3"/>
        <n v="2.7020000000000001E-4"/>
        <n v="5.2713999999999997E-2"/>
        <n v="8.2533999999999996E-2"/>
        <n v="8.0360000000000001E-2"/>
        <n v="2.8400000000000002E-4"/>
        <n v="8.1081E-2"/>
        <n v="1.2469999999999999E-5"/>
        <n v="1.116E-3"/>
        <n v="22.49"/>
        <n v="6.5989999999999997E-5"/>
        <n v="1.047E-4"/>
        <n v="206.65"/>
        <n v="5.2489000000000001E-2"/>
        <n v="1.047E-3"/>
        <n v="2.075E-3"/>
        <n v="6.9650000000000004E-2"/>
        <n v="4.0109999999999998E-3"/>
        <n v="2.0139999999999999E-4"/>
        <n v="1.6210000000000001E-4"/>
        <n v="64.62"/>
        <n v="1.8259999999999998E-2"/>
        <n v="3.884E-2"/>
        <n v="6.0540000000000004E-3"/>
        <n v="270.94"/>
        <n v="9.7230000000000003E-5"/>
        <n v="4.4310000000000002E-2"/>
        <n v="20.239999999999998"/>
        <n v="1.406E-2"/>
        <n v="6.8490000000000001E-3"/>
        <n v="2.387E-4"/>
        <n v="9.1189999999999999E-4"/>
      </sharedItems>
    </cacheField>
    <cacheField name="1h Change (%)" numFmtId="0">
      <sharedItems containsSemiMixedTypes="0" containsString="0" containsNumber="1" minValue="0" maxValue="16.46"/>
    </cacheField>
    <cacheField name="Market Cap" numFmtId="0">
      <sharedItems containsSemiMixedTypes="0" containsString="0" containsNumber="1" minValue="861080" maxValue="1260000000000"/>
    </cacheField>
    <cacheField name="Volume (24h)" numFmtId="0">
      <sharedItems containsString="0" containsBlank="1" containsNumber="1" minValue="23.89" maxValue="56830000000"/>
    </cacheField>
    <cacheField name="Circulating Supply" numFmtId="0">
      <sharedItems containsString="0" containsBlank="1" containsNumber="1" minValue="2250" maxValue="990100000000000"/>
    </cacheField>
    <cacheField name="Doller Volume per Supply" numFmtId="0">
      <sharedItems containsMixedTypes="1" containsNumber="1" minValue="0" maxValue="1544.865403788634" count="278">
        <n v="33.101412608053977"/>
        <n v="1544.865403788634"/>
        <n v="87.504143188597951"/>
        <n v="0.30917795549752464"/>
        <n v="9.237008110543707"/>
        <n v="0.13608562691131498"/>
        <n v="1.8551095474172396E-2"/>
        <n v="2.7772986027255477"/>
        <n v="4.9885118043844854E-3"/>
        <n v="1.5278228840746169"/>
        <n v="3.68783000643915E-3"/>
        <n v="5.5999000076081167E-4"/>
        <n v="16.992852888624181"/>
        <n v="4.9574014909478166"/>
        <n v="8.7347945205479456E-3"/>
        <n v="7.9635542831975339E-2"/>
        <n v="6.6457933542066459E-9"/>
        <n v="4.5084749197086209E-9"/>
        <n v="0.22288507747120723"/>
        <n v="5.0737276042492466E-2"/>
        <n v="0.42123629112662014"/>
        <n v="2.6132596685082871E-3"/>
        <n v="0.14200873362445415"/>
        <n v="1.1962774957698815E-3"/>
        <n v="3.819752244573247E-7"/>
        <n v="0.20764403879064461"/>
        <n v="1.6708812260536398E-2"/>
        <n v="4.532110091743119E-3"/>
        <n v="1.4805825242718447E-4"/>
        <n v="5.1999999999999998E-3"/>
        <n v="3.963603380508804E-5"/>
        <n v="2.1277877697841726E-5"/>
        <n v="2.8731382978723402E-4"/>
        <n v="4.037941284526235E-8"/>
        <n v="4.6627777777777775E-4"/>
        <n v="1.2648648648648649E-2"/>
        <n v="3.2539325842696628E-3"/>
        <n v="9.5063822190484693E-3"/>
        <n v="1.5165394402035623E-3"/>
        <n v="2.0801232665639447E-3"/>
        <n v="6.5584672346238188E-5"/>
        <n v="4.5993462661741098E-2"/>
        <n v="1.1189787573551411E-5"/>
        <n v="5.6759999999999996E-3"/>
        <n v="2.2139237451737453E-9"/>
        <n v="1.3492063492063491E-4"/>
        <n v="3.8126843657817107E-2"/>
        <n v="3.140031400314003E-3"/>
        <n v="3.0330578512396695E-3"/>
        <n v="4.2642857142857144E-3"/>
        <e v="#DIV/0!"/>
        <n v="6.0526315789473685E-3"/>
        <n v="0.12641204948897256"/>
        <n v="0.12239401496259351"/>
        <n v="1.0827656182055371E-4"/>
        <n v="8.998956121089953E-3"/>
        <n v="2.4290974869177594E-2"/>
        <n v="1.7315370759531672E-3"/>
        <n v="7.8562753036437241E-5"/>
        <n v="1.6666666666666666E-4"/>
        <n v="14.440618736831286"/>
        <n v="7.4111857897263562E-3"/>
        <n v="3.9098912480580008E-3"/>
        <n v="1.6950103696474321E-3"/>
        <n v="7.713004484304933E-4"/>
        <n v="2.1250000000000002E-3"/>
        <n v="1.8486276116345758E-8"/>
        <n v="1.7922619047619048E-2"/>
        <n v="4.2942942942942941E-4"/>
        <n v="6.2777494723051169E-3"/>
        <n v="0.16178690009055238"/>
        <n v="0.11540860885839052"/>
        <n v="3.3291374055916256E-3"/>
        <n v="2.7777777777777777"/>
        <n v="5.4843396226415093E-4"/>
        <n v="2.2058998312296465E-5"/>
        <n v="2.965777777777778E-4"/>
        <n v="3.3693693693693695E-6"/>
        <n v="0"/>
        <n v="1.0097087378640777"/>
        <n v="3.2733678833749673E-10"/>
        <n v="6.9437455972627549E-6"/>
        <n v="4.4448411281685113E-5"/>
        <n v="6.5393669892754381E-3"/>
        <n v="1.5177865612648221E-2"/>
        <n v="4.6466845277963829E-3"/>
        <n v="302.16824258232799"/>
        <n v="2.80694033008887"/>
        <n v="2.6405130139569973E-2"/>
        <n v="6.6E-4"/>
        <n v="0.22070844686648503"/>
        <n v="1.2128438103852321E-2"/>
        <n v="2.7395498392282958E-3"/>
        <n v="45.400238948626047"/>
        <n v="5.4559333795975017E-2"/>
        <n v="1.0079872881355933E-4"/>
        <n v="0.21267190569744598"/>
        <n v="121.21212121212122"/>
        <n v="4.2043342535953371E-3"/>
        <n v="5.2558459422283352"/>
        <n v="1.1599999999999999E-6"/>
        <n v="1.6480000000000002E-2"/>
        <n v="2.7881290322580646E-3"/>
        <n v="3.1705202312138726E-6"/>
        <n v="9.0195338698859822E-4"/>
        <n v="6.4321608040201008E-4"/>
        <n v="2.3857142857142857E-3"/>
        <n v="8.7628865979381444E-4"/>
        <n v="6.0880239520958083E-9"/>
        <n v="4.2179310344827588E-7"/>
        <n v="4.5461387927141355E-5"/>
        <n v="1.0016608391608393E-3"/>
        <n v="1.4413999539488832E-2"/>
        <n v="20.873320537428022"/>
        <n v="5.0761421319796957E-4"/>
        <n v="1.3478260869565217E-2"/>
        <n v="3.6645962732919252E-4"/>
        <n v="2.1837893649974188E-3"/>
        <n v="1.4020139426800929E-2"/>
        <n v="1.5711458333333332E-5"/>
        <n v="6.5417040358744399E-4"/>
        <n v="1.323966065747614E-2"/>
        <n v="0.33497351509773871"/>
        <n v="2.4819916846165408E-4"/>
        <n v="5.4511596411037755E-2"/>
        <n v="2.6385057471264366E-5"/>
        <n v="65.894785919651881"/>
        <n v="6.4083333333333332E-4"/>
        <n v="6.6577896138482027"/>
        <n v="0.48842105263157892"/>
        <n v="1.9546674229368007E-5"/>
        <n v="3.3593726496926424E-3"/>
        <n v="3.1581072137657179E-2"/>
        <n v="237.27919852359611"/>
        <n v="1.0809697038594895E-7"/>
        <n v="1.0598290598290599E-3"/>
        <n v="7.4719101123595501E-4"/>
        <n v="2.0260140200170185E-3"/>
        <n v="4.4708114978149975E-4"/>
        <n v="125.20627062706271"/>
        <n v="5.8194828132783838E-3"/>
        <n v="2.8334446671120016E-2"/>
        <n v="1.4355571079287461E-2"/>
        <n v="2.5923344947735193E-2"/>
        <n v="7.1704302258135486E-3"/>
        <n v="2.5583333333333335E-3"/>
        <n v="4.6424997998879375E-4"/>
        <n v="3.8756520743732726E-3"/>
        <n v="0.37227949599083621"/>
        <n v="0.10669456066945607"/>
        <n v="23.788322096425389"/>
        <n v="9.6062183764757652E-3"/>
        <n v="5.3972717901500219E-4"/>
        <n v="8.1921930870083433"/>
        <n v="4.52713247824917"/>
        <n v="2.7485690235690234E-5"/>
        <n v="3.7655432106428318E-3"/>
        <n v="5.3458879618593562E-5"/>
        <n v="5.515763829177415E-3"/>
        <n v="1.7965410027205597E-7"/>
        <n v="9.1117041555470832E-2"/>
        <n v="1.1321012197587439E-3"/>
        <n v="1.5080645161290322E-3"/>
        <n v="6.3110034207525655E-3"/>
        <n v="6.3332280710277652E-7"/>
        <n v="31.51810858602397"/>
        <n v="8.3497592295345098E-5"/>
        <n v="5.9877701761821155E-5"/>
        <n v="1.0548960138648181E-2"/>
        <n v="1.2723435492750963E-3"/>
        <n v="209.62199312714776"/>
        <n v="1.0945205479452054E-2"/>
        <n v="2.4532410965923648E-2"/>
        <n v="7.5725900116144024E-2"/>
        <n v="7.2294974860097148E-3"/>
        <n v="1.1330360762059181E-3"/>
        <n v="1.4509803921568627E-2"/>
        <n v="2.1190476190476189E-7"/>
        <n v="179.59183673469389"/>
        <n v="3.3500617030028792E-4"/>
        <n v="2.663959955506118E-5"/>
        <n v="8.0493000608642724E-5"/>
        <n v="1.5949458483754512E-8"/>
        <n v="1.5167650950398553E-3"/>
        <n v="2.3094058680423249E-4"/>
        <n v="7.669336229129904E-3"/>
        <n v="1.4648332460275885E-11"/>
        <n v="2.3021582733812949E-4"/>
        <n v="0.2210599721059972"/>
        <n v="2.6385041551246535E-4"/>
        <n v="21.167221046265496"/>
        <n v="3.6181137457657337"/>
        <n v="8.2689576681740806E-6"/>
        <n v="2.7251813838258715E-4"/>
        <n v="2.5752000000000001E-3"/>
        <n v="67.764882066641704"/>
        <n v="6.3999999999999997E-5"/>
        <n v="2.2245764780549726E-3"/>
        <n v="2.4797114517583407E-4"/>
        <n v="692.98245614035091"/>
        <n v="1.1812566844919786E-4"/>
        <n v="5.2402866661872919E-7"/>
        <n v="7.3000855757345245E-11"/>
        <n v="6.520691524606951E-6"/>
        <n v="1.9669718309859154E-4"/>
        <n v="1.5219877326125376E-4"/>
        <n v="1.5968595323434033E-3"/>
        <n v="33.162393162393165"/>
        <n v="5.7824173574864392E-6"/>
        <n v="1.2488618239814412E-3"/>
        <n v="9.8749453432444255E-4"/>
        <n v="5.6222320358337011E-7"/>
        <n v="5.8668515950069345E-4"/>
        <n v="2.3036912751677852E-6"/>
        <n v="1.6335664335664336E-5"/>
        <n v="1.1047331319234643E-2"/>
        <n v="1.372804163955758E-4"/>
        <n v="1.5956478694360832E-4"/>
        <n v="1.1806122448979592E-2"/>
        <n v="33.910891089108908"/>
        <n v="195.00870574579221"/>
        <n v="55.380742605412209"/>
        <n v="2.0529640158847801E-4"/>
        <n v="77.757685352622062"/>
        <n v="119.62071480671042"/>
        <n v="2.4938941655359563E-4"/>
        <n v="8.6452241715399614E-7"/>
        <n v="2.8014925373134327E-5"/>
        <n v="1.6510368511425176E-11"/>
        <n v="1.2887179487179487E-5"/>
        <n v="1.0659920072192858E-8"/>
        <n v="3.3535000000000002E-6"/>
        <n v="1.0356999999999999E-7"/>
        <n v="42.670920692798539"/>
        <n v="2.8131107264503882E-4"/>
        <n v="2.6666666666666668E-6"/>
        <n v="1.5614713216957605E-2"/>
        <n v="1.7347942276857296E-2"/>
        <n v="5.5752660922453118E-3"/>
        <n v="1.9737276933245208E-7"/>
        <n v="1.2256673511293635E-2"/>
        <n v="1.20398406374502E-5"/>
        <n v="18.418604651162791"/>
        <n v="1.4865333313237577E-4"/>
        <n v="8.2614294913071476E-4"/>
        <n v="586.66666666666663"/>
        <n v="6.9931662870159452E-3"/>
        <n v="5.7277504037946472E-5"/>
        <n v="7.5257575757575756E-4"/>
        <n v="3.0526494769058429E-4"/>
        <n v="1.7367542430144284E-4"/>
        <n v="1.4244679462070765E-4"/>
        <n v="5.0363247863247866E-6"/>
        <n v="3.8213014743263859E-10"/>
        <n v="5.559913475480758E-11"/>
        <n v="2.0268588770864945E-2"/>
        <n v="2.1467204301075268E-4"/>
        <n v="3.7865978008013854E-11"/>
        <n v="2.9671239356669819E-7"/>
        <n v="2.4704269361987052E-4"/>
        <n v="4.3310463121783875E-2"/>
        <n v="3.319496855345912E-6"/>
        <n v="385.37549407114625"/>
        <n v="9.755401839834558E-8"/>
        <n v="7.739596563690732E-4"/>
        <n v="2.3444691318838279E-4"/>
        <n v="6.3585284280936452E-3"/>
        <n v="2.1309963099630998E-6"/>
        <n v="79.236977256052825"/>
        <n v="6.7789561239342894E-5"/>
        <n v="9.6888888888888886E-2"/>
        <n v="394.40993788819878"/>
        <n v="1.2022414671421294E-3"/>
        <n v="50.304164716892842"/>
        <n v="6.3494387506100533E-4"/>
        <n v="6.0252140818268314E-4"/>
        <n v="5.0620498614958451E-5"/>
        <n v="1.8640513461416256E-6"/>
      </sharedItems>
    </cacheField>
    <cacheField name="Rank " numFmtId="0">
      <sharedItems containsSemiMixedTypes="0" containsString="0" containsNumber="1" containsInteger="1" minValue="1" maxValue="300"/>
    </cacheField>
    <cacheField name="Price range" numFmtId="0">
      <sharedItems/>
    </cacheField>
  </cacheFields>
  <extLst>
    <ext xmlns:x14="http://schemas.microsoft.com/office/spreadsheetml/2009/9/main" uri="{725AE2AE-9491-48be-B2B4-4EB974FC3084}">
      <x14:pivotCacheDefinition pivotCacheId="1626911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CMC20"/>
    <x v="0"/>
    <x v="0"/>
    <n v="6050000"/>
    <n v="1570000"/>
    <n v="47430"/>
  </r>
  <r>
    <x v="1"/>
    <s v="BTC"/>
    <x v="1"/>
    <x v="1"/>
    <n v="1260000000000"/>
    <n v="30990000000"/>
    <n v="20060000"/>
  </r>
  <r>
    <x v="2"/>
    <s v="ETH"/>
    <x v="2"/>
    <x v="2"/>
    <n v="224490000000"/>
    <n v="10560000000"/>
    <n v="120680000"/>
  </r>
  <r>
    <x v="3"/>
    <s v="USDT"/>
    <x v="3"/>
    <x v="1"/>
    <n v="183630000000"/>
    <n v="56830000000"/>
    <n v="183810000000"/>
  </r>
  <r>
    <x v="4"/>
    <s v="BNB"/>
    <x v="4"/>
    <x v="3"/>
    <n v="78080000000"/>
    <n v="1230000000"/>
    <n v="133160000"/>
  </r>
  <r>
    <x v="5"/>
    <s v="USDC"/>
    <x v="5"/>
    <x v="1"/>
    <n v="71920000000"/>
    <n v="9790000000"/>
    <n v="71940000000"/>
  </r>
  <r>
    <x v="6"/>
    <s v="XRP"/>
    <x v="6"/>
    <x v="4"/>
    <n v="66340000000"/>
    <n v="1160000000"/>
    <n v="62530000000"/>
  </r>
  <r>
    <x v="7"/>
    <s v="SOL"/>
    <x v="7"/>
    <x v="5"/>
    <n v="42240000000"/>
    <n v="1610000000"/>
    <n v="579700000"/>
  </r>
  <r>
    <x v="8"/>
    <s v="TRX"/>
    <x v="8"/>
    <x v="6"/>
    <n v="30910000000"/>
    <n v="473310000"/>
    <n v="94880000000"/>
  </r>
  <r>
    <x v="9"/>
    <s v="HYPE"/>
    <x v="9"/>
    <x v="7"/>
    <n v="13320000000"/>
    <n v="385760000"/>
    <n v="252490000"/>
  </r>
  <r>
    <x v="10"/>
    <s v="DOGE"/>
    <x v="10"/>
    <x v="8"/>
    <n v="10780000000"/>
    <n v="572720000"/>
    <n v="155300000000"/>
  </r>
  <r>
    <x v="11"/>
    <s v="LEO"/>
    <x v="11"/>
    <x v="9"/>
    <n v="8970000000"/>
    <n v="515230"/>
    <n v="920070000"/>
  </r>
  <r>
    <x v="12"/>
    <s v="ZEC"/>
    <x v="12"/>
    <x v="10"/>
    <n v="7650000000"/>
    <n v="285310000"/>
    <n v="16790000"/>
  </r>
  <r>
    <x v="13"/>
    <s v="XMR"/>
    <x v="13"/>
    <x v="11"/>
    <n v="6660000000"/>
    <n v="93100000"/>
    <n v="18780000"/>
  </r>
  <r>
    <x v="14"/>
    <s v="ADA"/>
    <x v="14"/>
    <x v="12"/>
    <n v="6160000000"/>
    <n v="318820000"/>
    <n v="36500000000"/>
  </r>
  <r>
    <x v="15"/>
    <s v="ZRO"/>
    <x v="15"/>
    <x v="13"/>
    <n v="268070000"/>
    <n v="28930000"/>
    <n v="363280000"/>
  </r>
  <r>
    <x v="16"/>
    <s v="NFT"/>
    <x v="16"/>
    <x v="14"/>
    <n v="266440000"/>
    <n v="6580000"/>
    <n v="990100000000000"/>
  </r>
  <r>
    <x v="17"/>
    <s v="BTT"/>
    <x v="17"/>
    <x v="15"/>
    <n v="258040000"/>
    <n v="4450000"/>
    <n v="987030000000000"/>
  </r>
  <r>
    <x v="18"/>
    <s v="KAITO"/>
    <x v="18"/>
    <x v="16"/>
    <n v="255660000"/>
    <n v="53800000"/>
    <n v="241380000"/>
  </r>
  <r>
    <x v="19"/>
    <s v="JTO"/>
    <x v="19"/>
    <x v="17"/>
    <n v="255370000"/>
    <n v="25600000"/>
    <n v="504560000"/>
  </r>
  <r>
    <x v="20"/>
    <s v="BSV"/>
    <x v="20"/>
    <x v="18"/>
    <n v="252500000"/>
    <n v="8450000"/>
    <n v="20060000"/>
  </r>
  <r>
    <x v="21"/>
    <s v="STX"/>
    <x v="21"/>
    <x v="19"/>
    <n v="251970000"/>
    <n v="4730000"/>
    <n v="1810000000"/>
  </r>
  <r>
    <x v="22"/>
    <s v="PENDLE"/>
    <x v="22"/>
    <x v="20"/>
    <n v="247330000"/>
    <n v="24390000"/>
    <n v="171750000"/>
  </r>
  <r>
    <x v="23"/>
    <s v="MON"/>
    <x v="23"/>
    <x v="21"/>
    <n v="244880000"/>
    <n v="14140000"/>
    <n v="11820000000"/>
  </r>
  <r>
    <x v="24"/>
    <s v="BONK"/>
    <x v="24"/>
    <x v="22"/>
    <n v="244180000"/>
    <n v="33610000"/>
    <n v="87990000000000"/>
  </r>
  <r>
    <x v="25"/>
    <s v="DCR"/>
    <x v="25"/>
    <x v="23"/>
    <n v="230930000"/>
    <n v="3640000"/>
    <n v="17530000"/>
  </r>
  <r>
    <x v="26"/>
    <s v="CFX"/>
    <x v="26"/>
    <x v="24"/>
    <n v="223520000"/>
    <n v="87220000"/>
    <n v="5220000000"/>
  </r>
  <r>
    <x v="27"/>
    <s v="XTZ"/>
    <x v="27"/>
    <x v="25"/>
    <n v="218720000"/>
    <n v="4940000"/>
    <n v="1090000000"/>
  </r>
  <r>
    <x v="28"/>
    <s v="JASMY"/>
    <x v="28"/>
    <x v="7"/>
    <n v="212680000"/>
    <n v="7320000"/>
    <n v="49440000000"/>
  </r>
  <r>
    <x v="29"/>
    <s v="IMX"/>
    <x v="29"/>
    <x v="26"/>
    <n v="212500000"/>
    <n v="10400000"/>
    <n v="2000000000"/>
  </r>
  <r>
    <x v="30"/>
    <s v="RAIN"/>
    <x v="30"/>
    <x v="21"/>
    <n v="8850000000"/>
    <n v="27530000"/>
    <n v="694570000000"/>
  </r>
  <r>
    <x v="31"/>
    <s v="DEL"/>
    <x v="31"/>
    <x v="27"/>
    <n v="8160000000"/>
    <n v="236610"/>
    <n v="11120000000"/>
  </r>
  <r>
    <x v="32"/>
    <s v="USDY"/>
    <x v="32"/>
    <x v="9"/>
    <n v="2150000000"/>
    <n v="540150"/>
    <n v="1880000000"/>
  </r>
  <r>
    <x v="33"/>
    <s v="HTX"/>
    <x v="33"/>
    <x v="6"/>
    <n v="1590000000"/>
    <n v="36270000"/>
    <n v="898230000000000"/>
  </r>
  <r>
    <x v="34"/>
    <s v="USDf"/>
    <x v="34"/>
    <x v="4"/>
    <n v="1250000000"/>
    <n v="587510"/>
    <n v="1260000000"/>
  </r>
  <r>
    <x v="35"/>
    <s v="USDGO"/>
    <x v="35"/>
    <x v="1"/>
    <n v="1110000000"/>
    <n v="14040000"/>
    <n v="1110000000"/>
  </r>
  <r>
    <x v="36"/>
    <s v="CTM"/>
    <x v="36"/>
    <x v="28"/>
    <n v="867730000"/>
    <n v="14480000"/>
    <n v="4450000000"/>
  </r>
  <r>
    <x v="37"/>
    <s v="JLP"/>
    <x v="37"/>
    <x v="29"/>
    <n v="797050000"/>
    <n v="2130000"/>
    <n v="224060000"/>
  </r>
  <r>
    <x v="38"/>
    <s v="BDX"/>
    <x v="38"/>
    <x v="30"/>
    <n v="649330000"/>
    <n v="11920000"/>
    <n v="7860000000"/>
  </r>
  <r>
    <x v="39"/>
    <s v="GHO"/>
    <x v="39"/>
    <x v="1"/>
    <n v="647910000"/>
    <n v="1350000"/>
    <n v="649000000"/>
  </r>
  <r>
    <x v="40"/>
    <s v="USD0"/>
    <x v="40"/>
    <x v="9"/>
    <n v="556020000"/>
    <n v="36490"/>
    <n v="556380000"/>
  </r>
  <r>
    <x v="41"/>
    <s v="USX"/>
    <x v="35"/>
    <x v="21"/>
    <n v="518340000"/>
    <n v="23780000"/>
    <n v="517030000"/>
  </r>
  <r>
    <x v="42"/>
    <s v="USDAI"/>
    <x v="41"/>
    <x v="1"/>
    <n v="501100000"/>
    <n v="5610"/>
    <n v="501350000"/>
  </r>
  <r>
    <x v="43"/>
    <s v="UB"/>
    <x v="42"/>
    <x v="0"/>
    <n v="395370000"/>
    <n v="14190000"/>
    <n v="2500000000"/>
  </r>
  <r>
    <x v="44"/>
    <s v="DUCKY"/>
    <x v="43"/>
    <x v="21"/>
    <n v="260640000"/>
    <n v="917.45"/>
    <n v="414400000000"/>
  </r>
  <r>
    <x v="45"/>
    <s v="RVN"/>
    <x v="44"/>
    <x v="31"/>
    <n v="58580000"/>
    <n v="2210000"/>
    <n v="16380000000"/>
  </r>
  <r>
    <x v="46"/>
    <s v="PROS"/>
    <x v="45"/>
    <x v="32"/>
    <n v="58250000"/>
    <n v="5170000"/>
    <n v="135600000"/>
  </r>
  <r>
    <x v="47"/>
    <s v="JELLYJELLY"/>
    <x v="46"/>
    <x v="33"/>
    <n v="57820000"/>
    <n v="3140000"/>
    <n v="999990000"/>
  </r>
  <r>
    <x v="48"/>
    <s v="BILL"/>
    <x v="47"/>
    <x v="34"/>
    <n v="57720000"/>
    <n v="7340000"/>
    <n v="2420000000"/>
  </r>
  <r>
    <x v="49"/>
    <s v="ZIG"/>
    <x v="48"/>
    <x v="35"/>
    <n v="56390000"/>
    <n v="5970000"/>
    <n v="1400000000"/>
  </r>
  <r>
    <x v="50"/>
    <s v="BabyDoge"/>
    <x v="49"/>
    <x v="36"/>
    <n v="55980000"/>
    <n v="4240000"/>
    <m/>
  </r>
  <r>
    <x v="51"/>
    <s v="MAGMA"/>
    <x v="50"/>
    <x v="2"/>
    <n v="55420000"/>
    <n v="1150000"/>
    <n v="190000000"/>
  </r>
  <r>
    <x v="52"/>
    <s v="KSM"/>
    <x v="51"/>
    <x v="37"/>
    <n v="54950000"/>
    <n v="2350000"/>
    <n v="18590000"/>
  </r>
  <r>
    <x v="53"/>
    <s v="ALLO"/>
    <x v="52"/>
    <x v="38"/>
    <n v="54510000"/>
    <n v="24540000"/>
    <n v="200500000"/>
  </r>
  <r>
    <x v="54"/>
    <s v="TURBO"/>
    <x v="53"/>
    <x v="39"/>
    <n v="54570000"/>
    <n v="7470000"/>
    <n v="68990000000"/>
  </r>
  <r>
    <x v="55"/>
    <s v="APR"/>
    <x v="54"/>
    <x v="20"/>
    <n v="54060000"/>
    <n v="2500000"/>
    <n v="277810000"/>
  </r>
  <r>
    <x v="56"/>
    <s v="OPEN"/>
    <x v="55"/>
    <x v="1"/>
    <n v="53740000"/>
    <n v="7520000"/>
    <n v="309580000"/>
  </r>
  <r>
    <x v="57"/>
    <s v="XNO"/>
    <x v="56"/>
    <x v="23"/>
    <n v="53710000"/>
    <n v="230710"/>
    <n v="133240000"/>
  </r>
  <r>
    <x v="58"/>
    <s v="TFUEL"/>
    <x v="57"/>
    <x v="35"/>
    <n v="53790000"/>
    <n v="582150"/>
    <n v="7410000000"/>
  </r>
  <r>
    <x v="59"/>
    <s v="FUN"/>
    <x v="58"/>
    <x v="40"/>
    <n v="53410000"/>
    <n v="1800000"/>
    <n v="10800000000"/>
  </r>
  <r>
    <x v="60"/>
    <s v="NVDAon"/>
    <x v="59"/>
    <x v="41"/>
    <n v="38940000"/>
    <n v="2810000"/>
    <n v="194590"/>
  </r>
  <r>
    <x v="61"/>
    <s v="PNUT"/>
    <x v="60"/>
    <x v="5"/>
    <n v="38920000"/>
    <n v="7410000"/>
    <n v="999840000"/>
  </r>
  <r>
    <x v="62"/>
    <s v="RON"/>
    <x v="61"/>
    <x v="42"/>
    <n v="38900000"/>
    <n v="3020000"/>
    <n v="772400000"/>
  </r>
  <r>
    <x v="63"/>
    <s v="BDCA"/>
    <x v="62"/>
    <x v="43"/>
    <n v="38890000"/>
    <n v="138940"/>
    <n v="81970000"/>
  </r>
  <r>
    <x v="64"/>
    <s v="T"/>
    <x v="63"/>
    <x v="44"/>
    <n v="38830000"/>
    <n v="8600000"/>
    <n v="11150000000"/>
  </r>
  <r>
    <x v="65"/>
    <s v="IRYS"/>
    <x v="64"/>
    <x v="45"/>
    <n v="38730000"/>
    <n v="5440000"/>
    <n v="2560000000"/>
  </r>
  <r>
    <x v="66"/>
    <s v="MOG"/>
    <x v="65"/>
    <x v="29"/>
    <n v="38620000"/>
    <n v="7220000"/>
    <n v="390560000000000"/>
  </r>
  <r>
    <x v="67"/>
    <s v="GUSD"/>
    <x v="41"/>
    <x v="9"/>
    <n v="38620000"/>
    <n v="692530"/>
    <n v="38640000"/>
  </r>
  <r>
    <x v="68"/>
    <s v="BRETT"/>
    <x v="66"/>
    <x v="46"/>
    <n v="38550000"/>
    <n v="4290000"/>
    <n v="9990000000"/>
  </r>
  <r>
    <x v="69"/>
    <s v="CTC"/>
    <x v="67"/>
    <x v="43"/>
    <n v="38460000"/>
    <n v="3450000"/>
    <n v="549560000"/>
  </r>
  <r>
    <x v="70"/>
    <s v="EURI"/>
    <x v="68"/>
    <x v="1"/>
    <n v="38180000"/>
    <n v="5360000"/>
    <n v="33130000"/>
  </r>
  <r>
    <x v="71"/>
    <s v="ON"/>
    <x v="69"/>
    <x v="47"/>
    <n v="38100000"/>
    <n v="16650000"/>
    <n v="144270000"/>
  </r>
  <r>
    <x v="72"/>
    <s v="CELO"/>
    <x v="70"/>
    <x v="6"/>
    <n v="37890000"/>
    <n v="2010000"/>
    <n v="603760000"/>
  </r>
  <r>
    <x v="73"/>
    <s v="TRB"/>
    <x v="71"/>
    <x v="15"/>
    <n v="37840000"/>
    <n v="7750000"/>
    <n v="2790000"/>
  </r>
  <r>
    <x v="74"/>
    <s v="PCI"/>
    <x v="72"/>
    <x v="4"/>
    <n v="37760000"/>
    <n v="581340"/>
    <n v="1060000000"/>
  </r>
  <r>
    <x v="75"/>
    <s v="ASTEROID"/>
    <x v="73"/>
    <x v="48"/>
    <n v="28430000"/>
    <n v="9280000"/>
    <n v="420690000000"/>
  </r>
  <r>
    <x v="76"/>
    <s v="NOCK"/>
    <x v="30"/>
    <x v="49"/>
    <n v="28590000"/>
    <n v="667300"/>
    <n v="2250000000"/>
  </r>
  <r>
    <x v="77"/>
    <s v="MNGO"/>
    <x v="74"/>
    <x v="2"/>
    <n v="28590000"/>
    <n v="3740"/>
    <n v="1110000000"/>
  </r>
  <r>
    <x v="78"/>
    <s v="USDK"/>
    <x v="40"/>
    <x v="9"/>
    <n v="28580000"/>
    <m/>
    <n v="28600000"/>
  </r>
  <r>
    <x v="79"/>
    <s v="HIMSon"/>
    <x v="75"/>
    <x v="13"/>
    <n v="28540000"/>
    <n v="1040000"/>
    <n v="1030000"/>
  </r>
  <r>
    <x v="80"/>
    <s v="WKC"/>
    <x v="76"/>
    <x v="50"/>
    <n v="28410000"/>
    <n v="175590"/>
    <n v="536420000000000"/>
  </r>
  <r>
    <x v="81"/>
    <s v="WIN"/>
    <x v="77"/>
    <x v="35"/>
    <n v="28350000"/>
    <n v="6900000"/>
    <n v="993700000000"/>
  </r>
  <r>
    <x v="82"/>
    <s v="SC"/>
    <x v="78"/>
    <x v="15"/>
    <n v="28220000"/>
    <n v="2490000"/>
    <n v="56020000000"/>
  </r>
  <r>
    <x v="83"/>
    <s v="DUSK"/>
    <x v="79"/>
    <x v="18"/>
    <n v="28210000"/>
    <n v="3250000"/>
    <n v="496990000"/>
  </r>
  <r>
    <x v="84"/>
    <s v="ICNT"/>
    <x v="80"/>
    <x v="51"/>
    <n v="28010000"/>
    <n v="3840000"/>
    <n v="253000000"/>
  </r>
  <r>
    <x v="85"/>
    <s v="MANTA"/>
    <x v="81"/>
    <x v="52"/>
    <n v="27990000"/>
    <n v="2220000"/>
    <n v="477760000"/>
  </r>
  <r>
    <x v="86"/>
    <s v="SOXLB"/>
    <x v="82"/>
    <x v="53"/>
    <n v="27900000"/>
    <n v="74140000"/>
    <n v="245360"/>
  </r>
  <r>
    <x v="87"/>
    <s v="BSB"/>
    <x v="83"/>
    <x v="54"/>
    <n v="27890000"/>
    <n v="663280000"/>
    <n v="236300000"/>
  </r>
  <r>
    <x v="88"/>
    <s v="BNT"/>
    <x v="84"/>
    <x v="55"/>
    <n v="27830000"/>
    <n v="2800000"/>
    <n v="106040000"/>
  </r>
  <r>
    <x v="89"/>
    <s v="XAN"/>
    <x v="85"/>
    <x v="23"/>
    <n v="27810000"/>
    <n v="1650000"/>
    <n v="2500000000"/>
  </r>
  <r>
    <x v="90"/>
    <s v="ILV"/>
    <x v="86"/>
    <x v="56"/>
    <n v="20820000"/>
    <n v="1620000"/>
    <n v="7340000"/>
  </r>
  <r>
    <x v="91"/>
    <s v="SOMI"/>
    <x v="87"/>
    <x v="57"/>
    <n v="20630000"/>
    <n v="2950000"/>
    <n v="243230000"/>
  </r>
  <r>
    <x v="92"/>
    <s v="GMT"/>
    <x v="88"/>
    <x v="58"/>
    <n v="20600000"/>
    <n v="8520000"/>
    <n v="3110000000"/>
  </r>
  <r>
    <x v="93"/>
    <s v="rMU"/>
    <x v="89"/>
    <x v="56"/>
    <n v="20580000"/>
    <n v="1140000"/>
    <n v="25110"/>
  </r>
  <r>
    <x v="94"/>
    <s v="XCH"/>
    <x v="90"/>
    <x v="17"/>
    <n v="20520000"/>
    <n v="786200"/>
    <n v="14410000"/>
  </r>
  <r>
    <x v="95"/>
    <s v="IOTX"/>
    <x v="91"/>
    <x v="59"/>
    <n v="20490000"/>
    <n v="951540"/>
    <n v="9440000000"/>
  </r>
  <r>
    <x v="96"/>
    <s v="mUSD"/>
    <x v="35"/>
    <x v="1"/>
    <n v="20440000"/>
    <n v="4330000"/>
    <n v="20360000"/>
  </r>
  <r>
    <x v="97"/>
    <s v="rSNDK"/>
    <x v="92"/>
    <x v="60"/>
    <n v="20380000"/>
    <n v="2040000"/>
    <n v="16830"/>
  </r>
  <r>
    <x v="98"/>
    <s v="STEEM"/>
    <x v="93"/>
    <x v="35"/>
    <n v="20290000"/>
    <n v="2330000"/>
    <n v="554190000"/>
  </r>
  <r>
    <x v="99"/>
    <s v="preOPAI"/>
    <x v="94"/>
    <x v="30"/>
    <n v="20290000"/>
    <n v="152840"/>
    <n v="29080"/>
  </r>
  <r>
    <x v="100"/>
    <s v="WBX"/>
    <x v="95"/>
    <x v="29"/>
    <n v="20150000"/>
    <n v="13630"/>
    <n v="11750000000"/>
  </r>
  <r>
    <x v="101"/>
    <s v="SAPIEN"/>
    <x v="96"/>
    <x v="61"/>
    <n v="20110000"/>
    <n v="4120000"/>
    <n v="250000000"/>
  </r>
  <r>
    <x v="102"/>
    <s v="ROLL"/>
    <x v="97"/>
    <x v="15"/>
    <n v="20090000"/>
    <n v="432160"/>
    <n v="155000000"/>
  </r>
  <r>
    <x v="103"/>
    <s v="TPT"/>
    <x v="98"/>
    <x v="29"/>
    <n v="20060000"/>
    <n v="10970"/>
    <n v="3460000000"/>
  </r>
  <r>
    <x v="104"/>
    <s v="ONG"/>
    <x v="99"/>
    <x v="35"/>
    <n v="20010000"/>
    <n v="430340"/>
    <n v="477120000"/>
  </r>
  <r>
    <x v="105"/>
    <s v="INX"/>
    <x v="100"/>
    <x v="62"/>
    <n v="16010000"/>
    <n v="1280000"/>
    <n v="1990000000"/>
  </r>
  <r>
    <x v="106"/>
    <s v="STBL"/>
    <x v="101"/>
    <x v="7"/>
    <n v="15890000"/>
    <n v="1670000"/>
    <n v="700000000"/>
  </r>
  <r>
    <x v="107"/>
    <s v="BLESS"/>
    <x v="102"/>
    <x v="63"/>
    <n v="15880000"/>
    <n v="1700000"/>
    <n v="1940000000"/>
  </r>
  <r>
    <x v="108"/>
    <s v="FUL"/>
    <x v="103"/>
    <x v="1"/>
    <n v="15860000"/>
    <n v="101.67"/>
    <n v="16700000000"/>
  </r>
  <r>
    <x v="109"/>
    <s v="ARARA"/>
    <x v="104"/>
    <x v="64"/>
    <n v="15840000"/>
    <n v="15290"/>
    <n v="36250000000"/>
  </r>
  <r>
    <x v="110"/>
    <s v="BLAST"/>
    <x v="105"/>
    <x v="4"/>
    <n v="15820000"/>
    <n v="3020000"/>
    <n v="66430000000"/>
  </r>
  <r>
    <x v="111"/>
    <s v="VELO"/>
    <x v="106"/>
    <x v="65"/>
    <n v="15800000"/>
    <n v="916720"/>
    <n v="915200000"/>
  </r>
  <r>
    <x v="112"/>
    <s v="WCT"/>
    <x v="107"/>
    <x v="64"/>
    <n v="15790000"/>
    <n v="6260000"/>
    <n v="434300000"/>
  </r>
  <r>
    <x v="113"/>
    <s v="MRVLon"/>
    <x v="108"/>
    <x v="66"/>
    <n v="15660000"/>
    <n v="1740000"/>
    <n v="83360"/>
  </r>
  <r>
    <x v="114"/>
    <s v="RIZE"/>
    <x v="109"/>
    <x v="67"/>
    <n v="15580000"/>
    <n v="1000000"/>
    <n v="1970000000"/>
  </r>
  <r>
    <x v="115"/>
    <s v="WET"/>
    <x v="110"/>
    <x v="68"/>
    <n v="15570000"/>
    <n v="3100000"/>
    <n v="230000000"/>
  </r>
  <r>
    <x v="116"/>
    <s v="TAC"/>
    <x v="111"/>
    <x v="69"/>
    <n v="15550000"/>
    <n v="1770000"/>
    <n v="4830000000"/>
  </r>
  <r>
    <x v="117"/>
    <s v="ADS"/>
    <x v="112"/>
    <x v="13"/>
    <n v="15540000"/>
    <n v="84600"/>
    <n v="38740000"/>
  </r>
  <r>
    <x v="118"/>
    <s v="CLO"/>
    <x v="113"/>
    <x v="7"/>
    <n v="15350000"/>
    <n v="1810000"/>
    <n v="129100000"/>
  </r>
  <r>
    <x v="119"/>
    <s v="GAME"/>
    <x v="53"/>
    <x v="5"/>
    <n v="15300000"/>
    <n v="301660"/>
    <n v="19200000000"/>
  </r>
  <r>
    <x v="120"/>
    <s v="AURORA"/>
    <x v="114"/>
    <x v="70"/>
    <n v="12160000"/>
    <n v="474110"/>
    <n v="724750000"/>
  </r>
  <r>
    <x v="121"/>
    <s v="FIRO"/>
    <x v="115"/>
    <x v="71"/>
    <n v="12150000"/>
    <n v="249700"/>
    <n v="18860000"/>
  </r>
  <r>
    <x v="122"/>
    <s v="SOFIon"/>
    <x v="116"/>
    <x v="57"/>
    <n v="12090000"/>
    <n v="249160"/>
    <n v="743820"/>
  </r>
  <r>
    <x v="123"/>
    <s v="PYTHIA"/>
    <x v="117"/>
    <x v="64"/>
    <n v="12050000"/>
    <n v="247740"/>
    <n v="998150000"/>
  </r>
  <r>
    <x v="124"/>
    <s v="RAD"/>
    <x v="118"/>
    <x v="72"/>
    <n v="12030000"/>
    <n v="3220000"/>
    <n v="59070000"/>
  </r>
  <r>
    <x v="125"/>
    <s v="META"/>
    <x v="119"/>
    <x v="9"/>
    <n v="12010000"/>
    <n v="45910"/>
    <n v="1740000000"/>
  </r>
  <r>
    <x v="126"/>
    <s v="MSTRB"/>
    <x v="120"/>
    <x v="50"/>
    <n v="11960000"/>
    <n v="8480000"/>
    <n v="128690"/>
  </r>
  <r>
    <x v="127"/>
    <s v="USDB"/>
    <x v="121"/>
    <x v="5"/>
    <n v="11960000"/>
    <n v="7690"/>
    <n v="12000000"/>
  </r>
  <r>
    <x v="128"/>
    <s v="IAUon"/>
    <x v="122"/>
    <x v="23"/>
    <n v="11940000"/>
    <n v="1050000"/>
    <n v="157710"/>
  </r>
  <r>
    <x v="129"/>
    <s v="OG"/>
    <x v="123"/>
    <x v="73"/>
    <n v="11930000"/>
    <n v="2320000"/>
    <n v="4750000"/>
  </r>
  <r>
    <x v="130"/>
    <s v="SAUCE"/>
    <x v="124"/>
    <x v="5"/>
    <n v="11860000"/>
    <n v="17920"/>
    <n v="916780000"/>
  </r>
  <r>
    <x v="131"/>
    <s v="OXT"/>
    <x v="125"/>
    <x v="74"/>
    <n v="11820000"/>
    <n v="3350000"/>
    <n v="997210000"/>
  </r>
  <r>
    <x v="132"/>
    <s v="BCD"/>
    <x v="126"/>
    <x v="9"/>
    <n v="11780000"/>
    <m/>
    <n v="186490000"/>
  </r>
  <r>
    <x v="133"/>
    <s v="XSGD"/>
    <x v="127"/>
    <x v="75"/>
    <n v="11780000"/>
    <n v="477190"/>
    <n v="15110000"/>
  </r>
  <r>
    <x v="134"/>
    <s v="TSLAB"/>
    <x v="128"/>
    <x v="59"/>
    <n v="11760000"/>
    <n v="9000000"/>
    <n v="37930"/>
  </r>
  <r>
    <x v="135"/>
    <s v="HEGIC"/>
    <x v="129"/>
    <x v="24"/>
    <n v="9550000"/>
    <n v="76.069999999999993"/>
    <n v="703720000"/>
  </r>
  <r>
    <x v="136"/>
    <s v="MAV"/>
    <x v="100"/>
    <x v="22"/>
    <n v="9430000"/>
    <n v="1240000"/>
    <n v="1170000000"/>
  </r>
  <r>
    <x v="137"/>
    <s v="NXA"/>
    <x v="130"/>
    <x v="40"/>
    <n v="9400000"/>
    <m/>
    <n v="10000000"/>
  </r>
  <r>
    <x v="138"/>
    <s v="ACN"/>
    <x v="131"/>
    <x v="21"/>
    <n v="9340000"/>
    <n v="1330000"/>
    <n v="1780000000"/>
  </r>
  <r>
    <x v="139"/>
    <s v="BOBA"/>
    <x v="132"/>
    <x v="64"/>
    <n v="9290000"/>
    <n v="1000000"/>
    <n v="493580000"/>
  </r>
  <r>
    <x v="140"/>
    <s v="COL"/>
    <x v="133"/>
    <x v="40"/>
    <n v="9260000"/>
    <m/>
    <n v="82070000"/>
  </r>
  <r>
    <x v="141"/>
    <s v="DEOD"/>
    <x v="134"/>
    <x v="3"/>
    <n v="9210000"/>
    <n v="256790"/>
    <n v="574370000"/>
  </r>
  <r>
    <x v="142"/>
    <s v="NBISB"/>
    <x v="135"/>
    <x v="26"/>
    <n v="9200000"/>
    <n v="6070000"/>
    <n v="48480"/>
  </r>
  <r>
    <x v="143"/>
    <s v="DOLO"/>
    <x v="136"/>
    <x v="21"/>
    <n v="9200000"/>
    <n v="2570000"/>
    <n v="441620000"/>
  </r>
  <r>
    <x v="144"/>
    <s v="TRUST"/>
    <x v="137"/>
    <x v="52"/>
    <n v="9180000"/>
    <n v="5090000"/>
    <n v="179640000"/>
  </r>
  <r>
    <x v="145"/>
    <s v="KERNEL"/>
    <x v="138"/>
    <x v="30"/>
    <n v="9170000"/>
    <n v="4110000"/>
    <n v="286300000"/>
  </r>
  <r>
    <x v="146"/>
    <s v="NST"/>
    <x v="6"/>
    <x v="4"/>
    <n v="9170000"/>
    <n v="223200"/>
    <n v="8610000"/>
  </r>
  <r>
    <x v="147"/>
    <s v="JIMOTHY"/>
    <x v="139"/>
    <x v="12"/>
    <n v="9180000"/>
    <n v="7170000"/>
    <n v="999940000"/>
  </r>
  <r>
    <x v="148"/>
    <s v="GLMR"/>
    <x v="140"/>
    <x v="64"/>
    <n v="9150000"/>
    <n v="3070000"/>
    <n v="1200000000"/>
  </r>
  <r>
    <x v="149"/>
    <s v="FARTBOY"/>
    <x v="139"/>
    <x v="30"/>
    <n v="9150000"/>
    <n v="463990"/>
    <n v="999440000"/>
  </r>
  <r>
    <x v="150"/>
    <s v="DRIFT"/>
    <x v="117"/>
    <x v="76"/>
    <n v="7420000"/>
    <n v="2370000"/>
    <n v="611510000"/>
  </r>
  <r>
    <x v="151"/>
    <s v="ASR"/>
    <x v="141"/>
    <x v="49"/>
    <n v="7390000"/>
    <n v="3250000"/>
    <n v="8730000"/>
  </r>
  <r>
    <x v="152"/>
    <s v="TRADOOR"/>
    <x v="142"/>
    <x v="3"/>
    <n v="7380000"/>
    <n v="1530000"/>
    <n v="14340000"/>
  </r>
  <r>
    <x v="153"/>
    <s v="AAOIB"/>
    <x v="143"/>
    <x v="45"/>
    <n v="7370000"/>
    <n v="1870000"/>
    <n v="78610"/>
  </r>
  <r>
    <x v="154"/>
    <s v="SHELL"/>
    <x v="144"/>
    <x v="6"/>
    <n v="7370000"/>
    <n v="3930000"/>
    <n v="409110000"/>
  </r>
  <r>
    <x v="155"/>
    <s v="AVA"/>
    <x v="145"/>
    <x v="77"/>
    <n v="7340000"/>
    <n v="539290"/>
    <n v="999190000"/>
  </r>
  <r>
    <x v="156"/>
    <s v="SPCX"/>
    <x v="146"/>
    <x v="41"/>
    <n v="7250000"/>
    <n v="549860"/>
    <n v="67120"/>
  </r>
  <r>
    <x v="157"/>
    <s v="EEMon"/>
    <x v="147"/>
    <x v="64"/>
    <n v="7240000"/>
    <n v="504730"/>
    <n v="111490"/>
  </r>
  <r>
    <x v="158"/>
    <s v="EURR"/>
    <x v="148"/>
    <x v="1"/>
    <n v="7230000"/>
    <n v="326.52999999999997"/>
    <n v="11880000"/>
  </r>
  <r>
    <x v="159"/>
    <s v="HAEDAL"/>
    <x v="149"/>
    <x v="5"/>
    <n v="7230000"/>
    <n v="1820000"/>
    <n v="483330000"/>
  </r>
  <r>
    <x v="160"/>
    <s v="vDAI"/>
    <x v="150"/>
    <x v="9"/>
    <n v="7190000"/>
    <m/>
    <n v="274530000"/>
  </r>
  <r>
    <x v="161"/>
    <s v="DXI"/>
    <x v="53"/>
    <x v="78"/>
    <n v="7130000"/>
    <n v="448520"/>
    <n v="8390000000"/>
  </r>
  <r>
    <x v="162"/>
    <s v="BAL"/>
    <x v="151"/>
    <x v="71"/>
    <n v="7080000"/>
    <n v="384890"/>
    <n v="69780000"/>
  </r>
  <r>
    <x v="163"/>
    <s v="PEP"/>
    <x v="73"/>
    <x v="79"/>
    <n v="7080000"/>
    <n v="18490"/>
    <n v="102920000000"/>
  </r>
  <r>
    <x v="164"/>
    <s v="BAR"/>
    <x v="152"/>
    <x v="36"/>
    <n v="7060000"/>
    <n v="2390000"/>
    <n v="26230000"/>
  </r>
  <r>
    <x v="165"/>
    <s v="GROVE"/>
    <x v="153"/>
    <x v="23"/>
    <n v="5710000"/>
    <n v="671970"/>
    <n v="593560000"/>
  </r>
  <r>
    <x v="166"/>
    <s v="L3"/>
    <x v="154"/>
    <x v="70"/>
    <n v="5710000"/>
    <n v="1870000"/>
    <n v="1240000000"/>
  </r>
  <r>
    <x v="167"/>
    <s v="RION"/>
    <x v="155"/>
    <x v="21"/>
    <n v="5710000"/>
    <n v="221390"/>
    <n v="35080000"/>
  </r>
  <r>
    <x v="168"/>
    <s v="RACA"/>
    <x v="77"/>
    <x v="58"/>
    <n v="5700000"/>
    <n v="260720"/>
    <n v="411670000000"/>
  </r>
  <r>
    <x v="169"/>
    <s v="SNXXB"/>
    <x v="156"/>
    <x v="30"/>
    <n v="5680000"/>
    <n v="19250000"/>
    <n v="610760"/>
  </r>
  <r>
    <x v="170"/>
    <s v="MAPO"/>
    <x v="103"/>
    <x v="6"/>
    <n v="5680000"/>
    <n v="520190"/>
    <n v="6230000000"/>
  </r>
  <r>
    <x v="171"/>
    <s v="SYMM"/>
    <x v="157"/>
    <x v="1"/>
    <n v="5670000"/>
    <n v="9890"/>
    <n v="165170000"/>
  </r>
  <r>
    <x v="172"/>
    <s v="ELA"/>
    <x v="158"/>
    <x v="1"/>
    <n v="5670000"/>
    <n v="243470"/>
    <n v="23080000"/>
  </r>
  <r>
    <x v="173"/>
    <s v="MAMO"/>
    <x v="159"/>
    <x v="3"/>
    <n v="5660000"/>
    <n v="762630"/>
    <n v="599390000"/>
  </r>
  <r>
    <x v="174"/>
    <s v="AVGOon"/>
    <x v="160"/>
    <x v="18"/>
    <n v="5660000"/>
    <n v="3050000"/>
    <n v="14550"/>
  </r>
  <r>
    <x v="175"/>
    <s v="ATS"/>
    <x v="161"/>
    <x v="26"/>
    <n v="5630000"/>
    <n v="806990"/>
    <n v="73730000"/>
  </r>
  <r>
    <x v="176"/>
    <s v="TREE"/>
    <x v="162"/>
    <x v="80"/>
    <n v="5610000"/>
    <n v="3830000"/>
    <n v="156120000"/>
  </r>
  <r>
    <x v="177"/>
    <s v="LIGHT"/>
    <x v="163"/>
    <x v="33"/>
    <n v="5600000"/>
    <n v="3260000"/>
    <n v="43050000"/>
  </r>
  <r>
    <x v="178"/>
    <s v="UTK"/>
    <x v="109"/>
    <x v="1"/>
    <n v="5590000"/>
    <n v="5090000"/>
    <n v="704060000"/>
  </r>
  <r>
    <x v="179"/>
    <s v="SAVE"/>
    <x v="164"/>
    <x v="9"/>
    <n v="5570000"/>
    <m/>
    <n v="45660000"/>
  </r>
  <r>
    <x v="180"/>
    <s v="EDEL"/>
    <x v="165"/>
    <x v="69"/>
    <n v="4380000"/>
    <n v="698800"/>
    <n v="616750000"/>
  </r>
  <r>
    <x v="181"/>
    <s v="VIC"/>
    <x v="166"/>
    <x v="81"/>
    <n v="4350000"/>
    <n v="1850000"/>
    <n v="127500000"/>
  </r>
  <r>
    <x v="182"/>
    <s v="MIM"/>
    <x v="105"/>
    <x v="82"/>
    <n v="4350000"/>
    <n v="4450"/>
    <n v="21000000000"/>
  </r>
  <r>
    <x v="183"/>
    <s v="LMTon"/>
    <x v="167"/>
    <x v="37"/>
    <n v="4350000"/>
    <n v="1320000"/>
    <n v="7350"/>
  </r>
  <r>
    <x v="184"/>
    <s v="LINGO"/>
    <x v="168"/>
    <x v="21"/>
    <n v="4320000"/>
    <n v="162880"/>
    <n v="486200000"/>
  </r>
  <r>
    <x v="185"/>
    <s v="XEM"/>
    <x v="78"/>
    <x v="55"/>
    <n v="4310000"/>
    <n v="239490"/>
    <n v="8990000000"/>
  </r>
  <r>
    <x v="186"/>
    <s v="MONA"/>
    <x v="169"/>
    <x v="83"/>
    <n v="4290000"/>
    <n v="5290"/>
    <n v="65720000"/>
  </r>
  <r>
    <x v="187"/>
    <s v="BCN"/>
    <x v="77"/>
    <x v="9"/>
    <n v="4280000"/>
    <m/>
    <n v="184060000000"/>
  </r>
  <r>
    <x v="188"/>
    <s v="AIV"/>
    <x v="170"/>
    <x v="1"/>
    <n v="4270000"/>
    <n v="44.18"/>
    <n v="2770000000"/>
  </r>
  <r>
    <x v="189"/>
    <s v="RSS3"/>
    <x v="154"/>
    <x v="30"/>
    <n v="4260000"/>
    <n v="1410000"/>
    <n v="929610000"/>
  </r>
  <r>
    <x v="190"/>
    <s v="HOPR"/>
    <x v="171"/>
    <x v="0"/>
    <n v="4230000"/>
    <n v="78790"/>
    <n v="341170000"/>
  </r>
  <r>
    <x v="191"/>
    <s v="GALEON"/>
    <x v="172"/>
    <x v="9"/>
    <n v="4220000"/>
    <m/>
    <n v="824770000"/>
  </r>
  <r>
    <x v="192"/>
    <s v="AA"/>
    <x v="173"/>
    <x v="13"/>
    <n v="4210000"/>
    <n v="1130000"/>
    <n v="147340000"/>
  </r>
  <r>
    <x v="193"/>
    <s v="CATE"/>
    <x v="174"/>
    <x v="23"/>
    <n v="4200000"/>
    <n v="838.91"/>
    <n v="57270000000000"/>
  </r>
  <r>
    <x v="194"/>
    <s v="LAT"/>
    <x v="43"/>
    <x v="19"/>
    <n v="4200000"/>
    <n v="1600000"/>
    <n v="6950000000"/>
  </r>
  <r>
    <x v="195"/>
    <s v="FORTH"/>
    <x v="175"/>
    <x v="84"/>
    <n v="3280000"/>
    <n v="3170000"/>
    <n v="14340000"/>
  </r>
  <r>
    <x v="196"/>
    <s v="VITA"/>
    <x v="176"/>
    <x v="31"/>
    <n v="3310000"/>
    <n v="3810"/>
    <n v="14440000"/>
  </r>
  <r>
    <x v="197"/>
    <s v="DRAMon"/>
    <x v="177"/>
    <x v="85"/>
    <n v="3300000"/>
    <n v="1400000"/>
    <n v="66140"/>
  </r>
  <r>
    <x v="198"/>
    <s v="ASTSon"/>
    <x v="178"/>
    <x v="64"/>
    <n v="3300000"/>
    <n v="202940"/>
    <n v="56090"/>
  </r>
  <r>
    <x v="199"/>
    <s v="REN"/>
    <x v="179"/>
    <x v="31"/>
    <n v="3290000"/>
    <n v="8210"/>
    <n v="992870000"/>
  </r>
  <r>
    <x v="200"/>
    <s v="WAI"/>
    <x v="180"/>
    <x v="40"/>
    <n v="3290000"/>
    <n v="92400"/>
    <n v="339060000"/>
  </r>
  <r>
    <x v="201"/>
    <s v="BAY"/>
    <x v="181"/>
    <x v="86"/>
    <n v="3290000"/>
    <n v="515040"/>
    <n v="200000000"/>
  </r>
  <r>
    <x v="202"/>
    <s v="DJED"/>
    <x v="5"/>
    <x v="9"/>
    <n v="3290000"/>
    <m/>
    <n v="3290000"/>
  </r>
  <r>
    <x v="203"/>
    <s v="BABAon"/>
    <x v="182"/>
    <x v="0"/>
    <n v="3280000"/>
    <n v="1810000"/>
    <n v="26710"/>
  </r>
  <r>
    <x v="204"/>
    <s v="CESS"/>
    <x v="183"/>
    <x v="41"/>
    <n v="3280000"/>
    <n v="169600"/>
    <n v="2650000000"/>
  </r>
  <r>
    <x v="205"/>
    <s v="GAIB"/>
    <x v="134"/>
    <x v="35"/>
    <n v="3280000"/>
    <n v="455660"/>
    <n v="204830000"/>
  </r>
  <r>
    <x v="206"/>
    <s v="GEMS"/>
    <x v="184"/>
    <x v="25"/>
    <n v="3280000"/>
    <n v="148500"/>
    <n v="598860000"/>
  </r>
  <r>
    <x v="207"/>
    <s v="AMDB"/>
    <x v="185"/>
    <x v="87"/>
    <n v="3280000"/>
    <n v="4740000"/>
    <n v="6840"/>
  </r>
  <r>
    <x v="208"/>
    <s v="ODOS"/>
    <x v="103"/>
    <x v="88"/>
    <n v="3360000"/>
    <n v="441790"/>
    <n v="3740000000"/>
  </r>
  <r>
    <x v="209"/>
    <s v="$PURPE"/>
    <x v="46"/>
    <x v="3"/>
    <n v="3270000"/>
    <n v="218630"/>
    <n v="417210000000"/>
  </r>
  <r>
    <x v="210"/>
    <s v="PEIPEI"/>
    <x v="186"/>
    <x v="89"/>
    <n v="2640000"/>
    <n v="30710"/>
    <n v="420680000000000"/>
  </r>
  <r>
    <x v="211"/>
    <s v="SUKU"/>
    <x v="187"/>
    <x v="1"/>
    <n v="2620000"/>
    <n v="4330"/>
    <n v="664040000"/>
  </r>
  <r>
    <x v="212"/>
    <s v="IMPT"/>
    <x v="188"/>
    <x v="60"/>
    <n v="2620000"/>
    <n v="279310"/>
    <n v="1420000000"/>
  </r>
  <r>
    <x v="213"/>
    <s v="BOOE"/>
    <x v="189"/>
    <x v="90"/>
    <n v="2610000"/>
    <n v="14640"/>
    <n v="96190000"/>
  </r>
  <r>
    <x v="214"/>
    <s v="FOREST"/>
    <x v="190"/>
    <x v="35"/>
    <n v="2600000"/>
    <n v="187120"/>
    <n v="117180000"/>
  </r>
  <r>
    <x v="215"/>
    <s v="rMETA"/>
    <x v="191"/>
    <x v="30"/>
    <n v="2590000"/>
    <n v="155200"/>
    <n v="4680"/>
  </r>
  <r>
    <x v="216"/>
    <s v="PX"/>
    <x v="192"/>
    <x v="91"/>
    <n v="2580000"/>
    <n v="1130"/>
    <n v="195420000"/>
  </r>
  <r>
    <x v="217"/>
    <s v="VOOI"/>
    <x v="193"/>
    <x v="64"/>
    <n v="2570000"/>
    <n v="430670"/>
    <n v="344850000"/>
  </r>
  <r>
    <x v="218"/>
    <s v="MATH"/>
    <x v="194"/>
    <x v="49"/>
    <n v="2570000"/>
    <n v="112920"/>
    <n v="114350000"/>
  </r>
  <r>
    <x v="219"/>
    <s v="GOLDAO"/>
    <x v="111"/>
    <x v="81"/>
    <n v="2560000"/>
    <n v="445.59"/>
    <n v="792550000"/>
  </r>
  <r>
    <x v="220"/>
    <s v="AZERO"/>
    <x v="153"/>
    <x v="92"/>
    <n v="2550000"/>
    <n v="156510"/>
    <n v="266770000"/>
  </r>
  <r>
    <x v="221"/>
    <s v="VARA"/>
    <x v="104"/>
    <x v="72"/>
    <n v="2540000"/>
    <n v="13730"/>
    <n v="5960000000"/>
  </r>
  <r>
    <x v="222"/>
    <s v="EMT"/>
    <x v="188"/>
    <x v="93"/>
    <n v="2540000"/>
    <n v="23360"/>
    <n v="1430000000"/>
  </r>
  <r>
    <x v="223"/>
    <s v="TET"/>
    <x v="195"/>
    <x v="91"/>
    <n v="2540000"/>
    <n v="109700"/>
    <n v="9930000"/>
  </r>
  <r>
    <x v="224"/>
    <s v="BELLS"/>
    <x v="196"/>
    <x v="9"/>
    <n v="2540000"/>
    <n v="8440"/>
    <n v="61480000"/>
  </r>
  <r>
    <x v="225"/>
    <s v="DJI6930"/>
    <x v="197"/>
    <x v="93"/>
    <n v="2040000"/>
    <n v="159560"/>
    <n v="999970000"/>
  </r>
  <r>
    <x v="226"/>
    <s v="FT"/>
    <x v="198"/>
    <x v="94"/>
    <n v="2040000"/>
    <n v="242970"/>
    <n v="20580000"/>
  </r>
  <r>
    <x v="227"/>
    <s v="rTSM"/>
    <x v="199"/>
    <x v="91"/>
    <n v="2040000"/>
    <n v="171250"/>
    <n v="5050"/>
  </r>
  <r>
    <x v="228"/>
    <s v="AXTIB"/>
    <x v="200"/>
    <x v="95"/>
    <n v="2030000"/>
    <n v="6720000"/>
    <n v="34460"/>
  </r>
  <r>
    <x v="229"/>
    <s v="TQQQB"/>
    <x v="201"/>
    <x v="96"/>
    <n v="2030000"/>
    <n v="1760000"/>
    <n v="31780"/>
  </r>
  <r>
    <x v="230"/>
    <s v="NUM"/>
    <x v="91"/>
    <x v="18"/>
    <n v="2030000"/>
    <n v="185590"/>
    <n v="904010000"/>
  </r>
  <r>
    <x v="231"/>
    <s v="BABAB"/>
    <x v="202"/>
    <x v="15"/>
    <n v="2020000"/>
    <n v="1290000"/>
    <n v="16590"/>
  </r>
  <r>
    <x v="232"/>
    <s v="QCOMB"/>
    <x v="203"/>
    <x v="0"/>
    <n v="2020000"/>
    <n v="1640000"/>
    <n v="13710"/>
  </r>
  <r>
    <x v="233"/>
    <s v="STREAM"/>
    <x v="204"/>
    <x v="23"/>
    <n v="2010000"/>
    <n v="64330"/>
    <n v="257950000"/>
  </r>
  <r>
    <x v="234"/>
    <s v="EAT"/>
    <x v="105"/>
    <x v="97"/>
    <n v="2000000"/>
    <n v="8870"/>
    <n v="10260000000"/>
  </r>
  <r>
    <x v="235"/>
    <s v="LIBRA"/>
    <x v="205"/>
    <x v="9"/>
    <n v="2000000"/>
    <m/>
    <n v="299980000"/>
  </r>
  <r>
    <x v="236"/>
    <s v="SHARP"/>
    <x v="206"/>
    <x v="98"/>
    <n v="1990000"/>
    <n v="75080"/>
    <n v="2680000000"/>
  </r>
  <r>
    <x v="237"/>
    <s v="JESUS"/>
    <x v="207"/>
    <x v="99"/>
    <n v="1990000"/>
    <n v="2500"/>
    <n v="151420000000000"/>
  </r>
  <r>
    <x v="238"/>
    <s v="HEART"/>
    <x v="208"/>
    <x v="100"/>
    <n v="1980000"/>
    <n v="100520"/>
    <n v="7800000000"/>
  </r>
  <r>
    <x v="239"/>
    <s v="BORGY"/>
    <x v="77"/>
    <x v="37"/>
    <n v="1980000"/>
    <n v="826.89"/>
    <n v="77570000000"/>
  </r>
  <r>
    <x v="240"/>
    <s v="VERTAI"/>
    <x v="209"/>
    <x v="101"/>
    <n v="1620000"/>
    <n v="335.35"/>
    <n v="100000000"/>
  </r>
  <r>
    <x v="241"/>
    <s v="KIBSHI"/>
    <x v="210"/>
    <x v="91"/>
    <n v="1610000"/>
    <n v="103570"/>
    <n v="1000000000000"/>
  </r>
  <r>
    <x v="242"/>
    <s v="BITCI"/>
    <x v="105"/>
    <x v="9"/>
    <n v="1600000"/>
    <m/>
    <n v="7700000000"/>
  </r>
  <r>
    <x v="243"/>
    <s v="rCOIN"/>
    <x v="211"/>
    <x v="102"/>
    <n v="1600000"/>
    <n v="468100"/>
    <n v="10970"/>
  </r>
  <r>
    <x v="244"/>
    <s v="DORA"/>
    <x v="212"/>
    <x v="103"/>
    <n v="1600000"/>
    <n v="151140"/>
    <n v="537270000"/>
  </r>
  <r>
    <x v="245"/>
    <s v="BIOT"/>
    <x v="105"/>
    <x v="9"/>
    <n v="1590000"/>
    <n v="23440"/>
    <n v="8790000000"/>
  </r>
  <r>
    <x v="246"/>
    <s v="TTN"/>
    <x v="213"/>
    <x v="104"/>
    <n v="1590000"/>
    <n v="375690"/>
    <n v="24060000"/>
  </r>
  <r>
    <x v="247"/>
    <s v="ARG"/>
    <x v="87"/>
    <x v="65"/>
    <n v="1580000"/>
    <n v="324580"/>
    <n v="18710000"/>
  </r>
  <r>
    <x v="248"/>
    <s v="XTER"/>
    <x v="214"/>
    <x v="2"/>
    <n v="1590000"/>
    <n v="1100000"/>
    <n v="197300000"/>
  </r>
  <r>
    <x v="249"/>
    <s v="BUILDOUT"/>
    <x v="215"/>
    <x v="9"/>
    <n v="1580000"/>
    <m/>
    <n v="18530"/>
  </r>
  <r>
    <x v="250"/>
    <s v="MIA"/>
    <x v="216"/>
    <x v="9"/>
    <n v="1580000"/>
    <n v="23.89"/>
    <n v="121040000"/>
  </r>
  <r>
    <x v="251"/>
    <s v="HI"/>
    <x v="77"/>
    <x v="9"/>
    <n v="1570000"/>
    <m/>
    <n v="62070000000"/>
  </r>
  <r>
    <x v="252"/>
    <s v="PHOTON"/>
    <x v="217"/>
    <x v="9"/>
    <n v="1570000"/>
    <m/>
    <n v="20640"/>
  </r>
  <r>
    <x v="253"/>
    <s v="RARI"/>
    <x v="218"/>
    <x v="26"/>
    <n v="1570000"/>
    <n v="238760"/>
    <n v="19480000"/>
  </r>
  <r>
    <x v="254"/>
    <s v="GXA"/>
    <x v="43"/>
    <x v="105"/>
    <n v="1530000"/>
    <n v="30220"/>
    <n v="2510000000"/>
  </r>
  <r>
    <x v="255"/>
    <s v="WFCon"/>
    <x v="219"/>
    <x v="96"/>
    <n v="1300000"/>
    <n v="277200"/>
    <n v="15050"/>
  </r>
  <r>
    <x v="256"/>
    <s v="REAL"/>
    <x v="197"/>
    <x v="1"/>
    <n v="1290000"/>
    <n v="98630"/>
    <n v="663490000"/>
  </r>
  <r>
    <x v="257"/>
    <s v="10SET"/>
    <x v="220"/>
    <x v="3"/>
    <n v="1290000"/>
    <n v="115470"/>
    <n v="139770000"/>
  </r>
  <r>
    <x v="258"/>
    <s v="MAon"/>
    <x v="221"/>
    <x v="64"/>
    <n v="1290000"/>
    <n v="1320000"/>
    <n v="2250"/>
  </r>
  <r>
    <x v="259"/>
    <s v="DHT"/>
    <x v="222"/>
    <x v="21"/>
    <n v="1280000"/>
    <m/>
    <n v="54380000"/>
  </r>
  <r>
    <x v="260"/>
    <s v="REAL"/>
    <x v="223"/>
    <x v="9"/>
    <n v="1280000"/>
    <m/>
    <n v="267950000"/>
  </r>
  <r>
    <x v="261"/>
    <s v="SPURS"/>
    <x v="224"/>
    <x v="26"/>
    <n v="1270000"/>
    <n v="92100"/>
    <n v="13170000"/>
  </r>
  <r>
    <x v="262"/>
    <s v="MAGA"/>
    <x v="225"/>
    <x v="106"/>
    <n v="1270000"/>
    <n v="56030"/>
    <n v="978220000"/>
  </r>
  <r>
    <x v="263"/>
    <s v="PERP"/>
    <x v="226"/>
    <x v="107"/>
    <n v="1270000"/>
    <n v="49670"/>
    <n v="66000000"/>
  </r>
  <r>
    <x v="264"/>
    <s v="WHITEWHALE"/>
    <x v="225"/>
    <x v="108"/>
    <n v="1270000"/>
    <n v="305210"/>
    <n v="999820000"/>
  </r>
  <r>
    <x v="265"/>
    <s v="GHUB"/>
    <x v="227"/>
    <x v="75"/>
    <n v="1270000"/>
    <n v="87390"/>
    <n v="503180000"/>
  </r>
  <r>
    <x v="266"/>
    <s v="RENEC"/>
    <x v="228"/>
    <x v="1"/>
    <n v="1270000"/>
    <m/>
    <n v="35890000"/>
  </r>
  <r>
    <x v="267"/>
    <s v="SHIBDOGE"/>
    <x v="229"/>
    <x v="1"/>
    <n v="1270000"/>
    <n v="385.44"/>
    <m/>
  </r>
  <r>
    <x v="268"/>
    <s v="CPH"/>
    <x v="179"/>
    <x v="61"/>
    <n v="1260000"/>
    <n v="54550"/>
    <n v="382950000"/>
  </r>
  <r>
    <x v="269"/>
    <s v="ADP"/>
    <x v="208"/>
    <x v="102"/>
    <n v="1260000"/>
    <n v="23570"/>
    <n v="4680000000"/>
  </r>
  <r>
    <x v="270"/>
    <s v="HOGE"/>
    <x v="230"/>
    <x v="40"/>
    <n v="1060000"/>
    <n v="150.33000000000001"/>
    <n v="393400000000"/>
  </r>
  <r>
    <x v="271"/>
    <s v="POOH"/>
    <x v="38"/>
    <x v="90"/>
    <n v="1060000"/>
    <n v="23390"/>
    <n v="420690000000000"/>
  </r>
  <r>
    <x v="272"/>
    <s v="POR"/>
    <x v="96"/>
    <x v="9"/>
    <n v="1050000"/>
    <n v="267140"/>
    <n v="13180000"/>
  </r>
  <r>
    <x v="273"/>
    <s v="SAROS"/>
    <x v="208"/>
    <x v="20"/>
    <n v="1050000"/>
    <n v="798580"/>
    <n v="3720000000"/>
  </r>
  <r>
    <x v="274"/>
    <s v="$HACHI"/>
    <x v="231"/>
    <x v="109"/>
    <n v="1050000"/>
    <n v="36950"/>
    <n v="975810000000000"/>
  </r>
  <r>
    <x v="275"/>
    <s v="HASHAI"/>
    <x v="77"/>
    <x v="110"/>
    <n v="1050000"/>
    <n v="25090"/>
    <n v="84560000000"/>
  </r>
  <r>
    <x v="276"/>
    <s v="HGPT"/>
    <x v="232"/>
    <x v="13"/>
    <n v="1050000"/>
    <n v="232440"/>
    <n v="940890000"/>
  </r>
  <r>
    <x v="277"/>
    <s v="UNCX"/>
    <x v="233"/>
    <x v="111"/>
    <n v="1040000"/>
    <n v="2020"/>
    <n v="46640"/>
  </r>
  <r>
    <x v="278"/>
    <s v="RXD"/>
    <x v="73"/>
    <x v="112"/>
    <n v="1040000"/>
    <n v="52780"/>
    <n v="15900000000"/>
  </r>
  <r>
    <x v="279"/>
    <s v="LX"/>
    <x v="73"/>
    <x v="9"/>
    <n v="1040000"/>
    <m/>
    <n v="10000000000"/>
  </r>
  <r>
    <x v="280"/>
    <s v="BEB"/>
    <x v="234"/>
    <x v="113"/>
    <n v="1040000"/>
    <n v="1950000"/>
    <n v="5060"/>
  </r>
  <r>
    <x v="281"/>
    <s v="HOPPY"/>
    <x v="235"/>
    <x v="17"/>
    <n v="1040000"/>
    <n v="41040"/>
    <n v="420690000000"/>
  </r>
  <r>
    <x v="282"/>
    <s v="PENGUIN"/>
    <x v="236"/>
    <x v="51"/>
    <n v="1040000"/>
    <n v="773890"/>
    <n v="999910000"/>
  </r>
  <r>
    <x v="283"/>
    <s v="NTX"/>
    <x v="237"/>
    <x v="114"/>
    <n v="1040000"/>
    <n v="118180"/>
    <n v="504080000"/>
  </r>
  <r>
    <x v="284"/>
    <s v="GAFI"/>
    <x v="238"/>
    <x v="1"/>
    <n v="1040000"/>
    <n v="95060"/>
    <n v="14950000"/>
  </r>
  <r>
    <x v="285"/>
    <s v="LITKEY"/>
    <x v="187"/>
    <x v="9"/>
    <n v="882520"/>
    <m/>
    <n v="220000000"/>
  </r>
  <r>
    <x v="286"/>
    <s v="SLAP"/>
    <x v="105"/>
    <x v="9"/>
    <n v="880500"/>
    <m/>
    <n v="4370000000"/>
  </r>
  <r>
    <x v="287"/>
    <s v="DBC"/>
    <x v="105"/>
    <x v="1"/>
    <n v="880190"/>
    <n v="11550"/>
    <n v="5420000000"/>
  </r>
  <r>
    <x v="288"/>
    <s v="RKLBB"/>
    <x v="239"/>
    <x v="115"/>
    <n v="881280"/>
    <n v="1080000"/>
    <n v="13630"/>
  </r>
  <r>
    <x v="289"/>
    <s v="SCP"/>
    <x v="240"/>
    <x v="1"/>
    <n v="878560"/>
    <n v="3260"/>
    <n v="48090000"/>
  </r>
  <r>
    <x v="290"/>
    <s v="DN"/>
    <x v="241"/>
    <x v="17"/>
    <n v="874010"/>
    <n v="2180000"/>
    <n v="22500000"/>
  </r>
  <r>
    <x v="291"/>
    <s v="XAI"/>
    <x v="242"/>
    <x v="116"/>
    <n v="873610"/>
    <m/>
    <n v="144290000"/>
  </r>
  <r>
    <x v="292"/>
    <s v="AMZNB"/>
    <x v="243"/>
    <x v="64"/>
    <n v="873320"/>
    <n v="1270000"/>
    <n v="3220"/>
  </r>
  <r>
    <x v="293"/>
    <s v="HODL"/>
    <x v="73"/>
    <x v="9"/>
    <n v="870690"/>
    <m/>
    <n v="8950000000"/>
  </r>
  <r>
    <x v="294"/>
    <s v="OGPU"/>
    <x v="244"/>
    <x v="23"/>
    <n v="870390"/>
    <n v="23600"/>
    <n v="19630000"/>
  </r>
  <r>
    <x v="295"/>
    <s v="MVLLB"/>
    <x v="245"/>
    <x v="49"/>
    <n v="865490"/>
    <n v="2150000"/>
    <n v="42740"/>
  </r>
  <r>
    <x v="296"/>
    <s v="BST"/>
    <x v="246"/>
    <x v="40"/>
    <n v="864710"/>
    <n v="39030"/>
    <n v="61470000"/>
  </r>
  <r>
    <x v="297"/>
    <s v="SBET"/>
    <x v="247"/>
    <x v="81"/>
    <n v="863810"/>
    <n v="75990"/>
    <n v="126120000"/>
  </r>
  <r>
    <x v="298"/>
    <s v="SHR"/>
    <x v="105"/>
    <x v="117"/>
    <n v="863090"/>
    <n v="182740"/>
    <n v="3610000000"/>
  </r>
  <r>
    <x v="299"/>
    <s v="NBT"/>
    <x v="103"/>
    <x v="118"/>
    <n v="861080"/>
    <n v="1760"/>
    <n v="94418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0.16"/>
    <n v="6050000"/>
    <n v="1570000"/>
    <n v="47430"/>
    <x v="0"/>
    <n v="165"/>
    <s v="100-10000"/>
  </r>
  <r>
    <x v="1"/>
    <x v="1"/>
    <x v="1"/>
    <n v="0.01"/>
    <n v="1260000000000"/>
    <n v="30990000000"/>
    <n v="20060000"/>
    <x v="1"/>
    <n v="1"/>
    <s v="10000+"/>
  </r>
  <r>
    <x v="2"/>
    <x v="2"/>
    <x v="2"/>
    <n v="0.27"/>
    <n v="224490000000"/>
    <n v="10560000000"/>
    <n v="120680000"/>
    <x v="2"/>
    <n v="2"/>
    <s v="100-10000"/>
  </r>
  <r>
    <x v="3"/>
    <x v="3"/>
    <x v="3"/>
    <n v="0.01"/>
    <n v="183630000000"/>
    <n v="56830000000"/>
    <n v="183810000000"/>
    <x v="3"/>
    <n v="3"/>
    <s v="0.5-1"/>
  </r>
  <r>
    <x v="4"/>
    <x v="4"/>
    <x v="4"/>
    <n v="0.21"/>
    <n v="78080000000"/>
    <n v="1230000000"/>
    <n v="133160000"/>
    <x v="4"/>
    <n v="4"/>
    <s v="100-10000"/>
  </r>
  <r>
    <x v="5"/>
    <x v="5"/>
    <x v="5"/>
    <n v="0.01"/>
    <n v="71920000000"/>
    <n v="9790000000"/>
    <n v="71940000000"/>
    <x v="5"/>
    <n v="5"/>
    <s v="0.5-1"/>
  </r>
  <r>
    <x v="6"/>
    <x v="6"/>
    <x v="6"/>
    <n v="0.06"/>
    <n v="66340000000"/>
    <n v="1160000000"/>
    <n v="62530000000"/>
    <x v="6"/>
    <n v="6"/>
    <s v="1-2"/>
  </r>
  <r>
    <x v="7"/>
    <x v="7"/>
    <x v="7"/>
    <n v="0.24"/>
    <n v="42240000000"/>
    <n v="1610000000"/>
    <n v="579700000"/>
    <x v="7"/>
    <n v="7"/>
    <s v="10-100"/>
  </r>
  <r>
    <x v="8"/>
    <x v="8"/>
    <x v="8"/>
    <n v="0.03"/>
    <n v="30910000000"/>
    <n v="473310000"/>
    <n v="94880000000"/>
    <x v="8"/>
    <n v="8"/>
    <s v="0-0.5"/>
  </r>
  <r>
    <x v="9"/>
    <x v="9"/>
    <x v="9"/>
    <n v="0.92"/>
    <n v="13320000000"/>
    <n v="385760000"/>
    <n v="252490000"/>
    <x v="9"/>
    <n v="9"/>
    <s v="10-100"/>
  </r>
  <r>
    <x v="10"/>
    <x v="10"/>
    <x v="10"/>
    <n v="0.41"/>
    <n v="10780000000"/>
    <n v="572720000"/>
    <n v="155300000000"/>
    <x v="10"/>
    <n v="10"/>
    <s v="0-0.5"/>
  </r>
  <r>
    <x v="11"/>
    <x v="11"/>
    <x v="11"/>
    <n v="0"/>
    <n v="8970000000"/>
    <n v="515230"/>
    <n v="920070000"/>
    <x v="11"/>
    <n v="11"/>
    <s v="2-10"/>
  </r>
  <r>
    <x v="12"/>
    <x v="12"/>
    <x v="12"/>
    <n v="0.22"/>
    <n v="7650000000"/>
    <n v="285310000"/>
    <n v="16790000"/>
    <x v="12"/>
    <n v="14"/>
    <s v="100-10000"/>
  </r>
  <r>
    <x v="13"/>
    <x v="13"/>
    <x v="13"/>
    <n v="0.57999999999999996"/>
    <n v="6660000000"/>
    <n v="93100000"/>
    <n v="18780000"/>
    <x v="13"/>
    <n v="15"/>
    <s v="100-10000"/>
  </r>
  <r>
    <x v="14"/>
    <x v="14"/>
    <x v="14"/>
    <n v="0.85"/>
    <n v="6160000000"/>
    <n v="318820000"/>
    <n v="36500000000"/>
    <x v="14"/>
    <n v="16"/>
    <s v="0-0.5"/>
  </r>
  <r>
    <x v="15"/>
    <x v="15"/>
    <x v="15"/>
    <n v="0.2"/>
    <n v="268070000"/>
    <n v="28930000"/>
    <n v="363280000"/>
    <x v="15"/>
    <n v="29"/>
    <s v="0.5-1"/>
  </r>
  <r>
    <x v="16"/>
    <x v="16"/>
    <x v="16"/>
    <n v="0.82"/>
    <n v="266440000"/>
    <n v="6580000"/>
    <n v="990100000000000"/>
    <x v="16"/>
    <n v="30"/>
    <s v="0-0.5"/>
  </r>
  <r>
    <x v="17"/>
    <x v="17"/>
    <x v="17"/>
    <n v="0.18"/>
    <n v="258040000"/>
    <n v="4450000"/>
    <n v="987030000000000"/>
    <x v="17"/>
    <n v="32"/>
    <s v="0-0.5"/>
  </r>
  <r>
    <x v="18"/>
    <x v="18"/>
    <x v="18"/>
    <n v="1.45"/>
    <n v="255660000"/>
    <n v="53800000"/>
    <n v="241380000"/>
    <x v="18"/>
    <n v="33"/>
    <s v="1-2"/>
  </r>
  <r>
    <x v="19"/>
    <x v="19"/>
    <x v="19"/>
    <n v="0.46"/>
    <n v="255370000"/>
    <n v="25600000"/>
    <n v="504560000"/>
    <x v="19"/>
    <n v="34"/>
    <s v="0.5-1"/>
  </r>
  <r>
    <x v="20"/>
    <x v="20"/>
    <x v="20"/>
    <n v="0.47"/>
    <n v="252500000"/>
    <n v="8450000"/>
    <n v="20060000"/>
    <x v="20"/>
    <n v="35"/>
    <s v="10-100"/>
  </r>
  <r>
    <x v="21"/>
    <x v="21"/>
    <x v="21"/>
    <n v="0.4"/>
    <n v="251970000"/>
    <n v="4730000"/>
    <n v="1810000000"/>
    <x v="21"/>
    <n v="36"/>
    <s v="0-0.5"/>
  </r>
  <r>
    <x v="22"/>
    <x v="22"/>
    <x v="22"/>
    <n v="0.39"/>
    <n v="247330000"/>
    <n v="24390000"/>
    <n v="171750000"/>
    <x v="22"/>
    <n v="37"/>
    <s v="1-2"/>
  </r>
  <r>
    <x v="23"/>
    <x v="23"/>
    <x v="23"/>
    <n v="0.02"/>
    <n v="244880000"/>
    <n v="14140000"/>
    <n v="11820000000"/>
    <x v="23"/>
    <n v="38"/>
    <s v="0-0.5"/>
  </r>
  <r>
    <x v="24"/>
    <x v="24"/>
    <x v="24"/>
    <n v="0.42"/>
    <n v="244180000"/>
    <n v="33610000"/>
    <n v="87990000000000"/>
    <x v="24"/>
    <n v="39"/>
    <s v="0-0.5"/>
  </r>
  <r>
    <x v="25"/>
    <x v="25"/>
    <x v="25"/>
    <n v="0.13"/>
    <n v="230930000"/>
    <n v="3640000"/>
    <n v="17530000"/>
    <x v="25"/>
    <n v="40"/>
    <s v="10-100"/>
  </r>
  <r>
    <x v="26"/>
    <x v="26"/>
    <x v="26"/>
    <n v="0.84"/>
    <n v="223520000"/>
    <n v="87220000"/>
    <n v="5220000000"/>
    <x v="26"/>
    <n v="41"/>
    <s v="0-0.5"/>
  </r>
  <r>
    <x v="27"/>
    <x v="27"/>
    <x v="27"/>
    <n v="0.34"/>
    <n v="218720000"/>
    <n v="4940000"/>
    <n v="1090000000"/>
    <x v="27"/>
    <n v="42"/>
    <s v="0-0.5"/>
  </r>
  <r>
    <x v="28"/>
    <x v="28"/>
    <x v="28"/>
    <n v="0.92"/>
    <n v="212680000"/>
    <n v="7320000"/>
    <n v="49440000000"/>
    <x v="28"/>
    <n v="43"/>
    <s v="0-0.5"/>
  </r>
  <r>
    <x v="29"/>
    <x v="29"/>
    <x v="29"/>
    <n v="0.19"/>
    <n v="212500000"/>
    <n v="10400000"/>
    <n v="2000000000"/>
    <x v="29"/>
    <n v="44"/>
    <s v="0-0.5"/>
  </r>
  <r>
    <x v="30"/>
    <x v="30"/>
    <x v="30"/>
    <n v="0.02"/>
    <n v="8850000000"/>
    <n v="27530000"/>
    <n v="694570000000"/>
    <x v="30"/>
    <n v="12"/>
    <s v="0-0.5"/>
  </r>
  <r>
    <x v="31"/>
    <x v="31"/>
    <x v="31"/>
    <n v="1.1299999999999999"/>
    <n v="8160000000"/>
    <n v="236610"/>
    <n v="11120000000"/>
    <x v="31"/>
    <n v="13"/>
    <s v="0.5-1"/>
  </r>
  <r>
    <x v="32"/>
    <x v="32"/>
    <x v="32"/>
    <n v="0"/>
    <n v="2150000000"/>
    <n v="540150"/>
    <n v="1880000000"/>
    <x v="32"/>
    <n v="17"/>
    <s v="1-2"/>
  </r>
  <r>
    <x v="33"/>
    <x v="33"/>
    <x v="33"/>
    <n v="0.03"/>
    <n v="1590000000"/>
    <n v="36270000"/>
    <n v="898230000000000"/>
    <x v="33"/>
    <n v="18"/>
    <s v="0-0.5"/>
  </r>
  <r>
    <x v="34"/>
    <x v="34"/>
    <x v="34"/>
    <n v="0.06"/>
    <n v="1250000000"/>
    <n v="587510"/>
    <n v="1260000000"/>
    <x v="34"/>
    <n v="19"/>
    <s v="0.5-1"/>
  </r>
  <r>
    <x v="35"/>
    <x v="35"/>
    <x v="35"/>
    <n v="0.01"/>
    <n v="1110000000"/>
    <n v="14040000"/>
    <n v="1110000000"/>
    <x v="35"/>
    <n v="20"/>
    <s v="0.5-1"/>
  </r>
  <r>
    <x v="36"/>
    <x v="36"/>
    <x v="36"/>
    <n v="1.1399999999999999"/>
    <n v="867730000"/>
    <n v="14480000"/>
    <n v="4450000000"/>
    <x v="36"/>
    <n v="21"/>
    <s v="0-0.5"/>
  </r>
  <r>
    <x v="37"/>
    <x v="37"/>
    <x v="37"/>
    <n v="0.1"/>
    <n v="797050000"/>
    <n v="2130000"/>
    <n v="224060000"/>
    <x v="37"/>
    <n v="22"/>
    <s v="2-10"/>
  </r>
  <r>
    <x v="38"/>
    <x v="38"/>
    <x v="38"/>
    <n v="0.08"/>
    <n v="649330000"/>
    <n v="11920000"/>
    <n v="7860000000"/>
    <x v="38"/>
    <n v="23"/>
    <s v="0-0.5"/>
  </r>
  <r>
    <x v="39"/>
    <x v="39"/>
    <x v="39"/>
    <n v="0.01"/>
    <n v="647910000"/>
    <n v="1350000"/>
    <n v="649000000"/>
    <x v="39"/>
    <n v="24"/>
    <s v="0.5-1"/>
  </r>
  <r>
    <x v="40"/>
    <x v="40"/>
    <x v="40"/>
    <n v="0"/>
    <n v="556020000"/>
    <n v="36490"/>
    <n v="556380000"/>
    <x v="40"/>
    <n v="25"/>
    <s v="0.5-1"/>
  </r>
  <r>
    <x v="41"/>
    <x v="41"/>
    <x v="35"/>
    <n v="0.02"/>
    <n v="518340000.00000012"/>
    <n v="23780000"/>
    <n v="517030000"/>
    <x v="41"/>
    <n v="26"/>
    <s v="0.5-1"/>
  </r>
  <r>
    <x v="42"/>
    <x v="42"/>
    <x v="41"/>
    <n v="0.01"/>
    <n v="501100000"/>
    <n v="5610"/>
    <n v="501350000"/>
    <x v="42"/>
    <n v="27"/>
    <s v="0.5-1"/>
  </r>
  <r>
    <x v="43"/>
    <x v="43"/>
    <x v="42"/>
    <n v="0.16"/>
    <n v="395370000"/>
    <n v="14190000"/>
    <n v="2500000000"/>
    <x v="43"/>
    <n v="28"/>
    <s v="0-0.5"/>
  </r>
  <r>
    <x v="44"/>
    <x v="44"/>
    <x v="43"/>
    <n v="0.02"/>
    <n v="260640000"/>
    <n v="917.45"/>
    <n v="414400000000"/>
    <x v="44"/>
    <n v="31"/>
    <s v="0-0.5"/>
  </r>
  <r>
    <x v="45"/>
    <x v="45"/>
    <x v="44"/>
    <n v="0.11"/>
    <n v="58580000"/>
    <n v="2210000"/>
    <n v="16380000000"/>
    <x v="45"/>
    <n v="45"/>
    <s v="0-0.5"/>
  </r>
  <r>
    <x v="46"/>
    <x v="46"/>
    <x v="45"/>
    <n v="0.59"/>
    <n v="58250000"/>
    <n v="5170000"/>
    <n v="135600000"/>
    <x v="46"/>
    <n v="46"/>
    <s v="0-0.5"/>
  </r>
  <r>
    <x v="47"/>
    <x v="47"/>
    <x v="46"/>
    <n v="0.31"/>
    <n v="57820000"/>
    <n v="3140000"/>
    <n v="999990000"/>
    <x v="47"/>
    <n v="47"/>
    <s v="0-0.5"/>
  </r>
  <r>
    <x v="48"/>
    <x v="48"/>
    <x v="47"/>
    <n v="0.43"/>
    <n v="57720000"/>
    <n v="7340000"/>
    <n v="2420000000"/>
    <x v="48"/>
    <n v="48"/>
    <s v="0-0.5"/>
  </r>
  <r>
    <x v="49"/>
    <x v="49"/>
    <x v="48"/>
    <n v="0.09"/>
    <n v="56390000"/>
    <n v="5970000"/>
    <n v="1400000000"/>
    <x v="49"/>
    <n v="49"/>
    <s v="0-0.5"/>
  </r>
  <r>
    <x v="50"/>
    <x v="50"/>
    <x v="49"/>
    <n v="1.03"/>
    <n v="55980000"/>
    <n v="4240000"/>
    <m/>
    <x v="50"/>
    <n v="50"/>
    <s v="0-0.5"/>
  </r>
  <r>
    <x v="51"/>
    <x v="51"/>
    <x v="50"/>
    <n v="0.27"/>
    <n v="55420000"/>
    <n v="1150000"/>
    <n v="190000000"/>
    <x v="51"/>
    <n v="51"/>
    <s v="0-0.5"/>
  </r>
  <r>
    <x v="52"/>
    <x v="52"/>
    <x v="51"/>
    <n v="0.36"/>
    <n v="54950000"/>
    <n v="2350000"/>
    <n v="18590000"/>
    <x v="52"/>
    <n v="52"/>
    <s v="2-10"/>
  </r>
  <r>
    <x v="53"/>
    <x v="53"/>
    <x v="52"/>
    <n v="0.76"/>
    <n v="54510000"/>
    <n v="24540000"/>
    <n v="200500000"/>
    <x v="53"/>
    <n v="54"/>
    <s v="0-0.5"/>
  </r>
  <r>
    <x v="54"/>
    <x v="54"/>
    <x v="53"/>
    <n v="0.14000000000000001"/>
    <n v="54570000"/>
    <n v="7470000"/>
    <n v="68990000000"/>
    <x v="54"/>
    <n v="53"/>
    <s v="0-0.5"/>
  </r>
  <r>
    <x v="55"/>
    <x v="55"/>
    <x v="54"/>
    <n v="0.39"/>
    <n v="54060000"/>
    <n v="2500000"/>
    <n v="277810000"/>
    <x v="55"/>
    <n v="55"/>
    <s v="0-0.5"/>
  </r>
  <r>
    <x v="56"/>
    <x v="56"/>
    <x v="55"/>
    <n v="0.01"/>
    <n v="53740000"/>
    <n v="7520000"/>
    <n v="309580000"/>
    <x v="56"/>
    <n v="57"/>
    <s v="0-0.5"/>
  </r>
  <r>
    <x v="57"/>
    <x v="57"/>
    <x v="56"/>
    <n v="0.13"/>
    <n v="53710000"/>
    <n v="230710"/>
    <n v="133240000"/>
    <x v="57"/>
    <n v="58"/>
    <s v="0-0.5"/>
  </r>
  <r>
    <x v="58"/>
    <x v="58"/>
    <x v="57"/>
    <n v="0.09"/>
    <n v="53790000"/>
    <n v="582150"/>
    <n v="7410000000"/>
    <x v="58"/>
    <n v="56"/>
    <s v="0-0.5"/>
  </r>
  <r>
    <x v="59"/>
    <x v="59"/>
    <x v="58"/>
    <n v="0.12"/>
    <n v="53410000"/>
    <n v="1800000"/>
    <n v="10800000000"/>
    <x v="59"/>
    <n v="59"/>
    <s v="0-0.5"/>
  </r>
  <r>
    <x v="60"/>
    <x v="60"/>
    <x v="59"/>
    <n v="0.23"/>
    <n v="38940000"/>
    <n v="2810000"/>
    <n v="194590"/>
    <x v="60"/>
    <n v="60"/>
    <s v="100-10000"/>
  </r>
  <r>
    <x v="61"/>
    <x v="61"/>
    <x v="60"/>
    <n v="0.24"/>
    <n v="38920000"/>
    <n v="7410000"/>
    <n v="999840000"/>
    <x v="61"/>
    <n v="61"/>
    <s v="0-0.5"/>
  </r>
  <r>
    <x v="62"/>
    <x v="62"/>
    <x v="61"/>
    <n v="1.96"/>
    <n v="38900000"/>
    <n v="3020000"/>
    <n v="772400000"/>
    <x v="62"/>
    <n v="62"/>
    <s v="0-0.5"/>
  </r>
  <r>
    <x v="63"/>
    <x v="63"/>
    <x v="62"/>
    <n v="0.66"/>
    <n v="38890000"/>
    <n v="138940"/>
    <n v="81970000"/>
    <x v="63"/>
    <n v="63"/>
    <s v="0-0.5"/>
  </r>
  <r>
    <x v="64"/>
    <x v="64"/>
    <x v="63"/>
    <n v="0.81"/>
    <n v="38830000"/>
    <n v="8600000"/>
    <n v="11150000000"/>
    <x v="64"/>
    <n v="64"/>
    <s v="0-0.5"/>
  </r>
  <r>
    <x v="65"/>
    <x v="65"/>
    <x v="64"/>
    <n v="1.01"/>
    <n v="38730000"/>
    <n v="5440000"/>
    <n v="2560000000"/>
    <x v="65"/>
    <n v="65"/>
    <s v="0-0.5"/>
  </r>
  <r>
    <x v="66"/>
    <x v="66"/>
    <x v="65"/>
    <n v="0.1"/>
    <n v="38620000"/>
    <n v="7220000"/>
    <n v="390560000000000"/>
    <x v="66"/>
    <n v="66"/>
    <s v="0-0.5"/>
  </r>
  <r>
    <x v="67"/>
    <x v="67"/>
    <x v="41"/>
    <n v="0"/>
    <n v="38620000"/>
    <n v="692530"/>
    <n v="38640000"/>
    <x v="67"/>
    <n v="66"/>
    <s v="0.5-1"/>
  </r>
  <r>
    <x v="68"/>
    <x v="68"/>
    <x v="66"/>
    <n v="0.28999999999999998"/>
    <n v="38550000"/>
    <n v="4290000"/>
    <n v="9990000000"/>
    <x v="68"/>
    <n v="68"/>
    <s v="0-0.5"/>
  </r>
  <r>
    <x v="69"/>
    <x v="69"/>
    <x v="67"/>
    <n v="0.66"/>
    <n v="38460000"/>
    <n v="3450000"/>
    <n v="549560000"/>
    <x v="69"/>
    <n v="69"/>
    <s v="0-0.5"/>
  </r>
  <r>
    <x v="70"/>
    <x v="70"/>
    <x v="68"/>
    <n v="0.01"/>
    <n v="38180000"/>
    <n v="5360000"/>
    <n v="33130000"/>
    <x v="70"/>
    <n v="70"/>
    <s v="1-2"/>
  </r>
  <r>
    <x v="71"/>
    <x v="71"/>
    <x v="69"/>
    <n v="1.98"/>
    <n v="38100000"/>
    <n v="16650000"/>
    <n v="144270000"/>
    <x v="71"/>
    <n v="71"/>
    <s v="0-0.5"/>
  </r>
  <r>
    <x v="72"/>
    <x v="72"/>
    <x v="70"/>
    <n v="0.03"/>
    <n v="37890000"/>
    <n v="2010000"/>
    <n v="603760000"/>
    <x v="72"/>
    <n v="72"/>
    <s v="0-0.5"/>
  </r>
  <r>
    <x v="73"/>
    <x v="73"/>
    <x v="71"/>
    <n v="0.18"/>
    <n v="37840000"/>
    <n v="7750000"/>
    <n v="2790000"/>
    <x v="73"/>
    <n v="73"/>
    <s v="10-100"/>
  </r>
  <r>
    <x v="74"/>
    <x v="74"/>
    <x v="72"/>
    <n v="0.06"/>
    <n v="37760000"/>
    <n v="581340"/>
    <n v="1060000000"/>
    <x v="74"/>
    <n v="74"/>
    <s v="0-0.5"/>
  </r>
  <r>
    <x v="75"/>
    <x v="75"/>
    <x v="73"/>
    <n v="4.53"/>
    <n v="28430000"/>
    <n v="9280000"/>
    <n v="420690000000"/>
    <x v="75"/>
    <n v="79"/>
    <s v="0-0.5"/>
  </r>
  <r>
    <x v="76"/>
    <x v="76"/>
    <x v="74"/>
    <n v="0.28000000000000003"/>
    <n v="28590000"/>
    <n v="667300"/>
    <n v="2250000000"/>
    <x v="76"/>
    <n v="75"/>
    <s v="0-0.5"/>
  </r>
  <r>
    <x v="77"/>
    <x v="77"/>
    <x v="75"/>
    <n v="0.27"/>
    <n v="28590000"/>
    <n v="3740"/>
    <n v="1110000000"/>
    <x v="77"/>
    <n v="75"/>
    <s v="0-0.5"/>
  </r>
  <r>
    <x v="78"/>
    <x v="78"/>
    <x v="40"/>
    <n v="0"/>
    <n v="28580000"/>
    <m/>
    <n v="28600000"/>
    <x v="78"/>
    <n v="77"/>
    <s v="0.5-1"/>
  </r>
  <r>
    <x v="79"/>
    <x v="79"/>
    <x v="76"/>
    <n v="0.2"/>
    <n v="28540000"/>
    <n v="1040000"/>
    <n v="1030000"/>
    <x v="79"/>
    <n v="78"/>
    <s v="10-100"/>
  </r>
  <r>
    <x v="80"/>
    <x v="80"/>
    <x v="77"/>
    <n v="0.77"/>
    <n v="28410000"/>
    <n v="175590"/>
    <n v="536419999999999.88"/>
    <x v="80"/>
    <n v="80"/>
    <s v="0-0.5"/>
  </r>
  <r>
    <x v="81"/>
    <x v="81"/>
    <x v="78"/>
    <n v="0.09"/>
    <n v="28350000"/>
    <n v="6900000"/>
    <n v="993700000000"/>
    <x v="81"/>
    <n v="81"/>
    <s v="0-0.5"/>
  </r>
  <r>
    <x v="82"/>
    <x v="82"/>
    <x v="79"/>
    <n v="0.18"/>
    <n v="28220000"/>
    <n v="2490000"/>
    <n v="56020000000"/>
    <x v="82"/>
    <n v="82"/>
    <s v="0-0.5"/>
  </r>
  <r>
    <x v="83"/>
    <x v="83"/>
    <x v="80"/>
    <n v="0.47"/>
    <n v="28210000"/>
    <n v="3250000"/>
    <n v="496990000"/>
    <x v="83"/>
    <n v="83"/>
    <s v="0-0.5"/>
  </r>
  <r>
    <x v="84"/>
    <x v="84"/>
    <x v="81"/>
    <n v="0.69"/>
    <n v="28010000"/>
    <n v="3840000"/>
    <n v="253000000"/>
    <x v="84"/>
    <n v="84"/>
    <s v="0-0.5"/>
  </r>
  <r>
    <x v="85"/>
    <x v="85"/>
    <x v="82"/>
    <n v="0.33"/>
    <n v="27990000"/>
    <n v="2220000"/>
    <n v="477760000"/>
    <x v="85"/>
    <n v="85"/>
    <s v="0-0.5"/>
  </r>
  <r>
    <x v="86"/>
    <x v="86"/>
    <x v="83"/>
    <n v="0.75"/>
    <n v="27900000"/>
    <n v="74140000"/>
    <n v="245360"/>
    <x v="86"/>
    <n v="86"/>
    <s v="100-10000"/>
  </r>
  <r>
    <x v="87"/>
    <x v="87"/>
    <x v="84"/>
    <n v="0.51"/>
    <n v="27890000"/>
    <n v="663280000"/>
    <n v="236300000"/>
    <x v="87"/>
    <n v="87"/>
    <s v="0-0.5"/>
  </r>
  <r>
    <x v="88"/>
    <x v="88"/>
    <x v="85"/>
    <n v="0.37"/>
    <n v="27830000"/>
    <n v="2800000"/>
    <n v="106040000"/>
    <x v="88"/>
    <n v="88"/>
    <s v="0-0.5"/>
  </r>
  <r>
    <x v="89"/>
    <x v="89"/>
    <x v="86"/>
    <n v="0.13"/>
    <n v="27810000"/>
    <n v="1650000"/>
    <n v="2500000000"/>
    <x v="89"/>
    <n v="89"/>
    <s v="0-0.5"/>
  </r>
  <r>
    <x v="90"/>
    <x v="90"/>
    <x v="87"/>
    <n v="7.0000000000000007E-2"/>
    <n v="20820000"/>
    <n v="1620000"/>
    <n v="7340000"/>
    <x v="90"/>
    <n v="90"/>
    <s v="2-10"/>
  </r>
  <r>
    <x v="91"/>
    <x v="91"/>
    <x v="88"/>
    <n v="0.17"/>
    <n v="20630000"/>
    <n v="2950000"/>
    <n v="243230000"/>
    <x v="91"/>
    <n v="91"/>
    <s v="0-0.5"/>
  </r>
  <r>
    <x v="92"/>
    <x v="92"/>
    <x v="89"/>
    <n v="0.91"/>
    <n v="20600000"/>
    <n v="8520000"/>
    <n v="3110000000"/>
    <x v="92"/>
    <n v="92"/>
    <s v="0-0.5"/>
  </r>
  <r>
    <x v="93"/>
    <x v="93"/>
    <x v="90"/>
    <n v="7.0000000000000007E-2"/>
    <n v="20580000"/>
    <n v="1140000"/>
    <n v="25110"/>
    <x v="93"/>
    <n v="93"/>
    <s v="100-10000"/>
  </r>
  <r>
    <x v="94"/>
    <x v="94"/>
    <x v="91"/>
    <n v="0.46"/>
    <n v="20520000"/>
    <n v="786200"/>
    <n v="14410000"/>
    <x v="94"/>
    <n v="94"/>
    <s v="1-2"/>
  </r>
  <r>
    <x v="95"/>
    <x v="95"/>
    <x v="92"/>
    <n v="0.62"/>
    <n v="20490000"/>
    <n v="951540"/>
    <n v="9440000000"/>
    <x v="95"/>
    <n v="95"/>
    <s v="0-0.5"/>
  </r>
  <r>
    <x v="96"/>
    <x v="96"/>
    <x v="35"/>
    <n v="0.01"/>
    <n v="20440000"/>
    <n v="4330000"/>
    <n v="20360000"/>
    <x v="96"/>
    <n v="96"/>
    <s v="0.5-1"/>
  </r>
  <r>
    <x v="97"/>
    <x v="97"/>
    <x v="93"/>
    <n v="0.35"/>
    <n v="20380000"/>
    <n v="2040000"/>
    <n v="16830"/>
    <x v="97"/>
    <n v="97"/>
    <s v="100-10000"/>
  </r>
  <r>
    <x v="98"/>
    <x v="98"/>
    <x v="94"/>
    <n v="0.09"/>
    <n v="20290000"/>
    <n v="2330000"/>
    <n v="554190000"/>
    <x v="98"/>
    <n v="98"/>
    <s v="0-0.5"/>
  </r>
  <r>
    <x v="99"/>
    <x v="99"/>
    <x v="95"/>
    <n v="0.08"/>
    <n v="20290000"/>
    <n v="152840"/>
    <n v="29080"/>
    <x v="99"/>
    <n v="98"/>
    <s v="100-10000"/>
  </r>
  <r>
    <x v="100"/>
    <x v="100"/>
    <x v="96"/>
    <n v="0.1"/>
    <n v="20150000"/>
    <n v="13630"/>
    <n v="11750000000"/>
    <x v="100"/>
    <n v="100"/>
    <s v="0-0.5"/>
  </r>
  <r>
    <x v="101"/>
    <x v="101"/>
    <x v="97"/>
    <n v="0.38"/>
    <n v="20110000"/>
    <n v="4120000"/>
    <n v="250000000"/>
    <x v="101"/>
    <n v="101"/>
    <s v="0-0.5"/>
  </r>
  <r>
    <x v="102"/>
    <x v="102"/>
    <x v="98"/>
    <n v="0.18"/>
    <n v="20090000"/>
    <n v="432160"/>
    <n v="155000000"/>
    <x v="102"/>
    <n v="102"/>
    <s v="0-0.5"/>
  </r>
  <r>
    <x v="103"/>
    <x v="103"/>
    <x v="99"/>
    <n v="0.1"/>
    <n v="20060000"/>
    <n v="10970"/>
    <n v="3460000000"/>
    <x v="103"/>
    <n v="103"/>
    <s v="0-0.5"/>
  </r>
  <r>
    <x v="104"/>
    <x v="104"/>
    <x v="100"/>
    <n v="0.09"/>
    <n v="20010000"/>
    <n v="430340"/>
    <n v="477120000"/>
    <x v="104"/>
    <n v="104"/>
    <s v="0-0.5"/>
  </r>
  <r>
    <x v="105"/>
    <x v="105"/>
    <x v="101"/>
    <n v="2.62"/>
    <n v="16010000"/>
    <n v="1280000"/>
    <n v="1990000000"/>
    <x v="105"/>
    <n v="105"/>
    <s v="0-0.5"/>
  </r>
  <r>
    <x v="106"/>
    <x v="106"/>
    <x v="102"/>
    <n v="0.92"/>
    <n v="15890000"/>
    <n v="1670000"/>
    <n v="700000000"/>
    <x v="106"/>
    <n v="106"/>
    <s v="0-0.5"/>
  </r>
  <r>
    <x v="107"/>
    <x v="107"/>
    <x v="103"/>
    <n v="0.83"/>
    <n v="15880000"/>
    <n v="1700000"/>
    <n v="1940000000"/>
    <x v="107"/>
    <n v="107"/>
    <s v="0-0.5"/>
  </r>
  <r>
    <x v="108"/>
    <x v="108"/>
    <x v="104"/>
    <n v="0.01"/>
    <n v="15860000"/>
    <n v="101.67"/>
    <n v="16700000000"/>
    <x v="108"/>
    <n v="108"/>
    <s v="0-0.5"/>
  </r>
  <r>
    <x v="109"/>
    <x v="109"/>
    <x v="105"/>
    <n v="0.05"/>
    <n v="15840000"/>
    <n v="15290"/>
    <n v="36250000000"/>
    <x v="109"/>
    <n v="109"/>
    <s v="0-0.5"/>
  </r>
  <r>
    <x v="110"/>
    <x v="110"/>
    <x v="106"/>
    <n v="0.06"/>
    <n v="15820000"/>
    <n v="3020000"/>
    <n v="66430000000.000008"/>
    <x v="110"/>
    <n v="110"/>
    <s v="0-0.5"/>
  </r>
  <r>
    <x v="111"/>
    <x v="111"/>
    <x v="107"/>
    <n v="0.53"/>
    <n v="15800000"/>
    <n v="916720"/>
    <n v="915200000"/>
    <x v="111"/>
    <n v="111"/>
    <s v="0-0.5"/>
  </r>
  <r>
    <x v="112"/>
    <x v="112"/>
    <x v="108"/>
    <n v="0.05"/>
    <n v="15790000"/>
    <n v="6260000"/>
    <n v="434300000"/>
    <x v="112"/>
    <n v="112"/>
    <s v="0-0.5"/>
  </r>
  <r>
    <x v="113"/>
    <x v="113"/>
    <x v="109"/>
    <n v="1.04"/>
    <n v="15660000"/>
    <n v="1740000"/>
    <n v="83360"/>
    <x v="113"/>
    <n v="113"/>
    <s v="100-10000"/>
  </r>
  <r>
    <x v="114"/>
    <x v="114"/>
    <x v="110"/>
    <n v="4.3499999999999996"/>
    <n v="15580000"/>
    <n v="1000000"/>
    <n v="1970000000"/>
    <x v="114"/>
    <n v="114"/>
    <s v="0-0.5"/>
  </r>
  <r>
    <x v="115"/>
    <x v="115"/>
    <x v="111"/>
    <n v="0.88"/>
    <n v="15570000"/>
    <n v="3100000"/>
    <n v="230000000"/>
    <x v="115"/>
    <n v="115"/>
    <s v="0-0.5"/>
  </r>
  <r>
    <x v="116"/>
    <x v="116"/>
    <x v="112"/>
    <n v="0.54"/>
    <n v="15550000"/>
    <n v="1770000"/>
    <n v="4830000000"/>
    <x v="116"/>
    <n v="116"/>
    <s v="0-0.5"/>
  </r>
  <r>
    <x v="117"/>
    <x v="117"/>
    <x v="113"/>
    <n v="0.2"/>
    <n v="15540000"/>
    <n v="84600"/>
    <n v="38740000"/>
    <x v="117"/>
    <n v="117"/>
    <s v="0-0.5"/>
  </r>
  <r>
    <x v="118"/>
    <x v="118"/>
    <x v="114"/>
    <n v="0.92"/>
    <n v="15350000"/>
    <n v="1810000"/>
    <n v="129100000"/>
    <x v="118"/>
    <n v="118"/>
    <s v="0-0.5"/>
  </r>
  <r>
    <x v="119"/>
    <x v="119"/>
    <x v="115"/>
    <n v="0.24"/>
    <n v="15300000"/>
    <n v="301660"/>
    <n v="19200000000"/>
    <x v="119"/>
    <n v="119"/>
    <s v="0-0.5"/>
  </r>
  <r>
    <x v="120"/>
    <x v="120"/>
    <x v="116"/>
    <n v="0.78"/>
    <n v="12160000"/>
    <n v="474110"/>
    <n v="724750000"/>
    <x v="120"/>
    <n v="120"/>
    <s v="0-0.5"/>
  </r>
  <r>
    <x v="121"/>
    <x v="121"/>
    <x v="117"/>
    <n v="1.23"/>
    <n v="12150000"/>
    <n v="249700"/>
    <n v="18860000"/>
    <x v="121"/>
    <n v="121"/>
    <s v="0.5-1"/>
  </r>
  <r>
    <x v="122"/>
    <x v="122"/>
    <x v="118"/>
    <n v="0.17"/>
    <n v="12090000"/>
    <n v="249160"/>
    <n v="743820"/>
    <x v="122"/>
    <n v="122"/>
    <s v="10-100"/>
  </r>
  <r>
    <x v="123"/>
    <x v="123"/>
    <x v="119"/>
    <n v="0.05"/>
    <n v="12050000"/>
    <n v="247740"/>
    <n v="998150000"/>
    <x v="123"/>
    <n v="123"/>
    <s v="0-0.5"/>
  </r>
  <r>
    <x v="124"/>
    <x v="124"/>
    <x v="120"/>
    <n v="0.26"/>
    <n v="12030000"/>
    <n v="3220000"/>
    <n v="59070000"/>
    <x v="124"/>
    <n v="124"/>
    <s v="0-0.5"/>
  </r>
  <r>
    <x v="125"/>
    <x v="125"/>
    <x v="121"/>
    <n v="0"/>
    <n v="12010000"/>
    <n v="45910"/>
    <n v="1740000000"/>
    <x v="125"/>
    <n v="125"/>
    <s v="0-0.5"/>
  </r>
  <r>
    <x v="126"/>
    <x v="126"/>
    <x v="122"/>
    <n v="0.77"/>
    <n v="11960000"/>
    <n v="8480000"/>
    <n v="128690"/>
    <x v="126"/>
    <n v="126"/>
    <s v="10-100"/>
  </r>
  <r>
    <x v="127"/>
    <x v="127"/>
    <x v="123"/>
    <n v="0.24"/>
    <n v="11960000"/>
    <n v="7690"/>
    <n v="12000000"/>
    <x v="127"/>
    <n v="126"/>
    <s v="0.5-1"/>
  </r>
  <r>
    <x v="128"/>
    <x v="128"/>
    <x v="124"/>
    <n v="0.13"/>
    <n v="11940000"/>
    <n v="1050000"/>
    <n v="157710"/>
    <x v="128"/>
    <n v="128"/>
    <s v="10-100"/>
  </r>
  <r>
    <x v="129"/>
    <x v="129"/>
    <x v="125"/>
    <n v="0.25"/>
    <n v="11930000"/>
    <n v="2320000"/>
    <n v="4750000"/>
    <x v="129"/>
    <n v="129"/>
    <s v="2-10"/>
  </r>
  <r>
    <x v="130"/>
    <x v="130"/>
    <x v="126"/>
    <n v="0.24"/>
    <n v="11860000"/>
    <n v="17920"/>
    <n v="916780000"/>
    <x v="130"/>
    <n v="130"/>
    <s v="0-0.5"/>
  </r>
  <r>
    <x v="131"/>
    <x v="131"/>
    <x v="127"/>
    <n v="3.06"/>
    <n v="11820000"/>
    <n v="3350000"/>
    <n v="997210000"/>
    <x v="131"/>
    <n v="131"/>
    <s v="0-0.5"/>
  </r>
  <r>
    <x v="132"/>
    <x v="132"/>
    <x v="128"/>
    <n v="0"/>
    <n v="11780000"/>
    <m/>
    <n v="186490000"/>
    <x v="78"/>
    <n v="132"/>
    <s v="0-0.5"/>
  </r>
  <r>
    <x v="133"/>
    <x v="133"/>
    <x v="129"/>
    <n v="0.15"/>
    <n v="11780000"/>
    <n v="477190"/>
    <n v="15110000"/>
    <x v="132"/>
    <n v="132"/>
    <s v="0.5-1"/>
  </r>
  <r>
    <x v="134"/>
    <x v="134"/>
    <x v="130"/>
    <n v="0.62"/>
    <n v="11760000"/>
    <n v="9000000"/>
    <n v="37930"/>
    <x v="133"/>
    <n v="134"/>
    <s v="100-10000"/>
  </r>
  <r>
    <x v="135"/>
    <x v="135"/>
    <x v="131"/>
    <n v="0.84"/>
    <n v="9550000"/>
    <n v="76.069999999999993"/>
    <n v="703720000"/>
    <x v="134"/>
    <n v="135"/>
    <s v="0-0.5"/>
  </r>
  <r>
    <x v="136"/>
    <x v="136"/>
    <x v="132"/>
    <n v="0.42"/>
    <n v="9430000"/>
    <n v="1240000"/>
    <n v="1170000000"/>
    <x v="135"/>
    <n v="136"/>
    <s v="0-0.5"/>
  </r>
  <r>
    <x v="137"/>
    <x v="137"/>
    <x v="133"/>
    <n v="0.12"/>
    <n v="9400000"/>
    <m/>
    <n v="10000000"/>
    <x v="78"/>
    <n v="137"/>
    <s v="0.5-1"/>
  </r>
  <r>
    <x v="138"/>
    <x v="138"/>
    <x v="134"/>
    <n v="0.02"/>
    <n v="9340000"/>
    <n v="1330000"/>
    <n v="1780000000"/>
    <x v="136"/>
    <n v="138"/>
    <s v="0-0.5"/>
  </r>
  <r>
    <x v="139"/>
    <x v="139"/>
    <x v="135"/>
    <n v="0.05"/>
    <n v="9290000"/>
    <n v="1000000"/>
    <n v="493580000"/>
    <x v="137"/>
    <n v="139"/>
    <s v="0-0.5"/>
  </r>
  <r>
    <x v="140"/>
    <x v="140"/>
    <x v="136"/>
    <n v="0.12"/>
    <n v="9260000"/>
    <m/>
    <n v="82070000"/>
    <x v="78"/>
    <n v="140"/>
    <s v="0-0.5"/>
  </r>
  <r>
    <x v="141"/>
    <x v="141"/>
    <x v="137"/>
    <n v="0.21"/>
    <n v="9210000"/>
    <n v="256790"/>
    <n v="574370000"/>
    <x v="138"/>
    <n v="141"/>
    <s v="0-0.5"/>
  </r>
  <r>
    <x v="142"/>
    <x v="142"/>
    <x v="138"/>
    <n v="0.19"/>
    <n v="9200000"/>
    <n v="6070000"/>
    <n v="48480"/>
    <x v="139"/>
    <n v="142"/>
    <s v="100-10000"/>
  </r>
  <r>
    <x v="143"/>
    <x v="143"/>
    <x v="139"/>
    <n v="0.02"/>
    <n v="9200000"/>
    <n v="2570000"/>
    <n v="441620000"/>
    <x v="140"/>
    <n v="142"/>
    <s v="0-0.5"/>
  </r>
  <r>
    <x v="144"/>
    <x v="144"/>
    <x v="140"/>
    <n v="0.33"/>
    <n v="9180000"/>
    <n v="5090000"/>
    <n v="179640000"/>
    <x v="141"/>
    <n v="144"/>
    <s v="0-0.5"/>
  </r>
  <r>
    <x v="145"/>
    <x v="145"/>
    <x v="141"/>
    <n v="0.08"/>
    <n v="9170000"/>
    <n v="4110000"/>
    <n v="286300000"/>
    <x v="142"/>
    <n v="146"/>
    <s v="0-0.5"/>
  </r>
  <r>
    <x v="146"/>
    <x v="146"/>
    <x v="6"/>
    <n v="0.06"/>
    <n v="9170000"/>
    <n v="223200"/>
    <n v="8610000"/>
    <x v="143"/>
    <n v="146"/>
    <s v="1-2"/>
  </r>
  <r>
    <x v="147"/>
    <x v="147"/>
    <x v="142"/>
    <n v="0.85"/>
    <n v="9180000"/>
    <n v="7170000"/>
    <n v="999940000"/>
    <x v="144"/>
    <n v="144"/>
    <s v="0-0.5"/>
  </r>
  <r>
    <x v="148"/>
    <x v="148"/>
    <x v="143"/>
    <n v="0.05"/>
    <n v="9150000"/>
    <n v="3070000"/>
    <n v="1200000000"/>
    <x v="145"/>
    <n v="148"/>
    <s v="0-0.5"/>
  </r>
  <r>
    <x v="149"/>
    <x v="149"/>
    <x v="144"/>
    <n v="0.08"/>
    <n v="9150000"/>
    <n v="463990"/>
    <n v="999440000"/>
    <x v="146"/>
    <n v="148"/>
    <s v="0-0.5"/>
  </r>
  <r>
    <x v="150"/>
    <x v="150"/>
    <x v="145"/>
    <n v="3.01"/>
    <n v="7420000"/>
    <n v="2370000"/>
    <n v="611510000"/>
    <x v="147"/>
    <n v="150"/>
    <s v="0-0.5"/>
  </r>
  <r>
    <x v="151"/>
    <x v="151"/>
    <x v="146"/>
    <n v="0.28000000000000003"/>
    <n v="7390000"/>
    <n v="3250000"/>
    <n v="8730000"/>
    <x v="148"/>
    <n v="151"/>
    <s v="0.5-1"/>
  </r>
  <r>
    <x v="152"/>
    <x v="152"/>
    <x v="147"/>
    <n v="0.21"/>
    <n v="7380000"/>
    <n v="1530000"/>
    <n v="14340000"/>
    <x v="149"/>
    <n v="152"/>
    <s v="0.5-1"/>
  </r>
  <r>
    <x v="153"/>
    <x v="153"/>
    <x v="148"/>
    <n v="1.01"/>
    <n v="7370000"/>
    <n v="1870000"/>
    <n v="78610"/>
    <x v="150"/>
    <n v="153"/>
    <s v="10-100"/>
  </r>
  <r>
    <x v="154"/>
    <x v="154"/>
    <x v="149"/>
    <n v="0.03"/>
    <n v="7370000"/>
    <n v="3930000"/>
    <n v="409110000"/>
    <x v="151"/>
    <n v="153"/>
    <s v="0-0.5"/>
  </r>
  <r>
    <x v="155"/>
    <x v="155"/>
    <x v="150"/>
    <n v="0.99"/>
    <n v="7340000"/>
    <n v="539290"/>
    <n v="999190000"/>
    <x v="152"/>
    <n v="155"/>
    <s v="0-0.5"/>
  </r>
  <r>
    <x v="156"/>
    <x v="156"/>
    <x v="151"/>
    <n v="0.23"/>
    <n v="7250000"/>
    <n v="549860"/>
    <n v="67120"/>
    <x v="153"/>
    <n v="156"/>
    <s v="100-10000"/>
  </r>
  <r>
    <x v="157"/>
    <x v="157"/>
    <x v="152"/>
    <n v="0.05"/>
    <n v="7240000"/>
    <n v="504730"/>
    <n v="111490"/>
    <x v="154"/>
    <n v="157"/>
    <s v="10-100"/>
  </r>
  <r>
    <x v="158"/>
    <x v="158"/>
    <x v="153"/>
    <n v="0.01"/>
    <n v="7230000"/>
    <n v="326.52999999999997"/>
    <n v="11880000"/>
    <x v="155"/>
    <n v="158"/>
    <s v="0.5-1"/>
  </r>
  <r>
    <x v="159"/>
    <x v="159"/>
    <x v="154"/>
    <n v="0.24"/>
    <n v="7230000"/>
    <n v="1820000"/>
    <n v="483330000"/>
    <x v="156"/>
    <n v="158"/>
    <s v="0-0.5"/>
  </r>
  <r>
    <x v="160"/>
    <x v="160"/>
    <x v="155"/>
    <n v="0"/>
    <n v="7190000"/>
    <m/>
    <n v="274530000"/>
    <x v="78"/>
    <n v="160"/>
    <s v="0-0.5"/>
  </r>
  <r>
    <x v="161"/>
    <x v="161"/>
    <x v="156"/>
    <n v="1.8"/>
    <n v="7130000"/>
    <n v="448520"/>
    <n v="8390000000.000001"/>
    <x v="157"/>
    <n v="161"/>
    <s v="0-0.5"/>
  </r>
  <r>
    <x v="162"/>
    <x v="162"/>
    <x v="157"/>
    <n v="1.23"/>
    <n v="7080000"/>
    <n v="384890"/>
    <n v="69780000"/>
    <x v="158"/>
    <n v="162"/>
    <s v="0-0.5"/>
  </r>
  <r>
    <x v="163"/>
    <x v="163"/>
    <x v="158"/>
    <n v="1.07"/>
    <n v="7080000"/>
    <n v="18490"/>
    <n v="102920000000"/>
    <x v="159"/>
    <n v="162"/>
    <s v="0-0.5"/>
  </r>
  <r>
    <x v="164"/>
    <x v="164"/>
    <x v="159"/>
    <n v="1.03"/>
    <n v="7060000"/>
    <n v="2390000"/>
    <n v="26230000"/>
    <x v="160"/>
    <n v="164"/>
    <s v="0-0.5"/>
  </r>
  <r>
    <x v="165"/>
    <x v="165"/>
    <x v="160"/>
    <n v="0.13"/>
    <n v="5710000"/>
    <n v="671970"/>
    <n v="593560000"/>
    <x v="161"/>
    <n v="166"/>
    <s v="0-0.5"/>
  </r>
  <r>
    <x v="166"/>
    <x v="166"/>
    <x v="161"/>
    <n v="0.78"/>
    <n v="5710000"/>
    <n v="1870000"/>
    <n v="1240000000"/>
    <x v="162"/>
    <n v="166"/>
    <s v="0-0.5"/>
  </r>
  <r>
    <x v="167"/>
    <x v="167"/>
    <x v="162"/>
    <n v="0.02"/>
    <n v="5710000"/>
    <n v="221390"/>
    <n v="35080000"/>
    <x v="163"/>
    <n v="166"/>
    <s v="0-0.5"/>
  </r>
  <r>
    <x v="168"/>
    <x v="168"/>
    <x v="163"/>
    <n v="0.91"/>
    <n v="5700000"/>
    <n v="260720"/>
    <n v="411670000000"/>
    <x v="164"/>
    <n v="169"/>
    <s v="0-0.5"/>
  </r>
  <r>
    <x v="169"/>
    <x v="169"/>
    <x v="164"/>
    <n v="0.08"/>
    <n v="5680000"/>
    <n v="19250000"/>
    <n v="610760"/>
    <x v="165"/>
    <n v="170"/>
    <s v="2-10"/>
  </r>
  <r>
    <x v="170"/>
    <x v="170"/>
    <x v="165"/>
    <n v="0.03"/>
    <n v="5680000"/>
    <n v="520190.00000000012"/>
    <n v="6230000000"/>
    <x v="166"/>
    <n v="170"/>
    <s v="0-0.5"/>
  </r>
  <r>
    <x v="171"/>
    <x v="171"/>
    <x v="166"/>
    <n v="0.01"/>
    <n v="5670000"/>
    <n v="9890"/>
    <n v="165170000"/>
    <x v="167"/>
    <n v="172"/>
    <s v="0-0.5"/>
  </r>
  <r>
    <x v="172"/>
    <x v="172"/>
    <x v="167"/>
    <n v="0.01"/>
    <n v="5670000"/>
    <n v="243470"/>
    <n v="23080000"/>
    <x v="168"/>
    <n v="172"/>
    <s v="0-0.5"/>
  </r>
  <r>
    <x v="173"/>
    <x v="173"/>
    <x v="168"/>
    <n v="0.21"/>
    <n v="5660000"/>
    <n v="762630"/>
    <n v="599390000"/>
    <x v="169"/>
    <n v="174"/>
    <s v="0-0.5"/>
  </r>
  <r>
    <x v="174"/>
    <x v="174"/>
    <x v="169"/>
    <n v="0.47"/>
    <n v="5660000"/>
    <n v="3050000"/>
    <n v="14550"/>
    <x v="170"/>
    <n v="174"/>
    <s v="100-10000"/>
  </r>
  <r>
    <x v="175"/>
    <x v="175"/>
    <x v="170"/>
    <n v="0.19"/>
    <n v="5630000"/>
    <n v="806990"/>
    <n v="73730000"/>
    <x v="171"/>
    <n v="176"/>
    <s v="0-0.5"/>
  </r>
  <r>
    <x v="176"/>
    <x v="176"/>
    <x v="171"/>
    <n v="0.56999999999999995"/>
    <n v="5610000"/>
    <n v="3830000"/>
    <n v="156120000"/>
    <x v="172"/>
    <n v="177"/>
    <s v="0-0.5"/>
  </r>
  <r>
    <x v="177"/>
    <x v="177"/>
    <x v="172"/>
    <n v="0.31"/>
    <n v="5600000"/>
    <n v="3260000"/>
    <n v="43050000"/>
    <x v="173"/>
    <n v="178"/>
    <s v="0-0.5"/>
  </r>
  <r>
    <x v="178"/>
    <x v="178"/>
    <x v="173"/>
    <n v="0.01"/>
    <n v="5590000"/>
    <n v="5090000"/>
    <n v="704060000"/>
    <x v="174"/>
    <n v="179"/>
    <s v="0-0.5"/>
  </r>
  <r>
    <x v="179"/>
    <x v="179"/>
    <x v="174"/>
    <n v="0"/>
    <n v="5570000"/>
    <m/>
    <n v="45660000"/>
    <x v="78"/>
    <n v="180"/>
    <s v="0-0.5"/>
  </r>
  <r>
    <x v="180"/>
    <x v="180"/>
    <x v="175"/>
    <n v="0.54"/>
    <n v="4380000"/>
    <n v="698800"/>
    <n v="616750000"/>
    <x v="175"/>
    <n v="181"/>
    <s v="0-0.5"/>
  </r>
  <r>
    <x v="181"/>
    <x v="181"/>
    <x v="176"/>
    <n v="0.32"/>
    <n v="4350000"/>
    <n v="1850000"/>
    <n v="127500000"/>
    <x v="176"/>
    <n v="182"/>
    <s v="0-0.5"/>
  </r>
  <r>
    <x v="182"/>
    <x v="182"/>
    <x v="177"/>
    <n v="1.53"/>
    <n v="4350000"/>
    <n v="4450"/>
    <n v="21000000000"/>
    <x v="177"/>
    <n v="182"/>
    <s v="0-0.5"/>
  </r>
  <r>
    <x v="183"/>
    <x v="183"/>
    <x v="178"/>
    <n v="0.36"/>
    <n v="4350000"/>
    <n v="1320000"/>
    <n v="7350"/>
    <x v="178"/>
    <n v="182"/>
    <s v="100-10000"/>
  </r>
  <r>
    <x v="184"/>
    <x v="184"/>
    <x v="179"/>
    <n v="0.02"/>
    <n v="4320000"/>
    <n v="162880"/>
    <n v="486200000"/>
    <x v="179"/>
    <n v="185"/>
    <s v="0-0.5"/>
  </r>
  <r>
    <x v="185"/>
    <x v="185"/>
    <x v="180"/>
    <n v="0.37"/>
    <n v="4310000"/>
    <n v="239490"/>
    <n v="8990000000"/>
    <x v="180"/>
    <n v="186"/>
    <s v="0-0.5"/>
  </r>
  <r>
    <x v="186"/>
    <x v="186"/>
    <x v="181"/>
    <n v="1"/>
    <n v="4290000"/>
    <n v="5290"/>
    <n v="65720000"/>
    <x v="181"/>
    <n v="187"/>
    <s v="0-0.5"/>
  </r>
  <r>
    <x v="187"/>
    <x v="187"/>
    <x v="182"/>
    <n v="0"/>
    <n v="4280000"/>
    <m/>
    <n v="184060000000"/>
    <x v="78"/>
    <n v="188"/>
    <s v="0-0.5"/>
  </r>
  <r>
    <x v="188"/>
    <x v="188"/>
    <x v="183"/>
    <n v="0.01"/>
    <n v="4270000"/>
    <n v="44.18"/>
    <n v="2770000000"/>
    <x v="182"/>
    <n v="189"/>
    <s v="0-0.5"/>
  </r>
  <r>
    <x v="189"/>
    <x v="189"/>
    <x v="184"/>
    <n v="0.08"/>
    <n v="4260000"/>
    <n v="1410000"/>
    <n v="929610000"/>
    <x v="183"/>
    <n v="190"/>
    <s v="0-0.5"/>
  </r>
  <r>
    <x v="190"/>
    <x v="190"/>
    <x v="185"/>
    <n v="0.16"/>
    <n v="4230000"/>
    <n v="78790"/>
    <n v="341170000"/>
    <x v="184"/>
    <n v="191"/>
    <s v="0-0.5"/>
  </r>
  <r>
    <x v="191"/>
    <x v="191"/>
    <x v="186"/>
    <n v="0"/>
    <n v="4220000"/>
    <m/>
    <n v="824770000"/>
    <x v="78"/>
    <n v="192"/>
    <s v="0-0.5"/>
  </r>
  <r>
    <x v="192"/>
    <x v="192"/>
    <x v="187"/>
    <n v="0.2"/>
    <n v="4210000"/>
    <n v="1130000"/>
    <n v="147340000"/>
    <x v="185"/>
    <n v="193"/>
    <s v="0-0.5"/>
  </r>
  <r>
    <x v="193"/>
    <x v="193"/>
    <x v="188"/>
    <n v="0.13"/>
    <n v="4200000"/>
    <n v="838.91"/>
    <n v="57270000000000"/>
    <x v="186"/>
    <n v="194"/>
    <s v="0-0.5"/>
  </r>
  <r>
    <x v="194"/>
    <x v="194"/>
    <x v="189"/>
    <n v="0.4"/>
    <n v="4200000"/>
    <n v="1600000"/>
    <n v="6950000000"/>
    <x v="187"/>
    <n v="194"/>
    <s v="0-0.5"/>
  </r>
  <r>
    <x v="195"/>
    <x v="195"/>
    <x v="190"/>
    <n v="5.57"/>
    <n v="3280000"/>
    <n v="3170000"/>
    <n v="14340000"/>
    <x v="188"/>
    <n v="204"/>
    <s v="0-0.5"/>
  </r>
  <r>
    <x v="196"/>
    <x v="196"/>
    <x v="191"/>
    <n v="0.11"/>
    <n v="3310000"/>
    <n v="3810"/>
    <n v="14440000"/>
    <x v="189"/>
    <n v="197"/>
    <s v="0-0.5"/>
  </r>
  <r>
    <x v="197"/>
    <x v="197"/>
    <x v="192"/>
    <n v="1.17"/>
    <n v="3300000"/>
    <n v="1400000"/>
    <n v="66140"/>
    <x v="190"/>
    <n v="198"/>
    <s v="10-100"/>
  </r>
  <r>
    <x v="198"/>
    <x v="198"/>
    <x v="193"/>
    <n v="0.05"/>
    <n v="3300000"/>
    <n v="202940"/>
    <n v="56090"/>
    <x v="191"/>
    <n v="198"/>
    <s v="10-100"/>
  </r>
  <r>
    <x v="199"/>
    <x v="199"/>
    <x v="194"/>
    <n v="0.11"/>
    <n v="3290000"/>
    <n v="8210"/>
    <n v="992870000"/>
    <x v="192"/>
    <n v="200"/>
    <s v="0-0.5"/>
  </r>
  <r>
    <x v="200"/>
    <x v="200"/>
    <x v="195"/>
    <n v="0.12"/>
    <n v="3290000"/>
    <n v="92400"/>
    <n v="339060000"/>
    <x v="193"/>
    <n v="200"/>
    <s v="0-0.5"/>
  </r>
  <r>
    <x v="201"/>
    <x v="201"/>
    <x v="196"/>
    <n v="0.87"/>
    <n v="3290000"/>
    <n v="515039.99999999988"/>
    <n v="200000000"/>
    <x v="194"/>
    <n v="200"/>
    <s v="0-0.5"/>
  </r>
  <r>
    <x v="202"/>
    <x v="202"/>
    <x v="5"/>
    <n v="0"/>
    <n v="3290000"/>
    <m/>
    <n v="3290000"/>
    <x v="78"/>
    <n v="200"/>
    <s v="0.5-1"/>
  </r>
  <r>
    <x v="203"/>
    <x v="203"/>
    <x v="197"/>
    <n v="0.16"/>
    <n v="3280000"/>
    <n v="1810000"/>
    <n v="26710"/>
    <x v="195"/>
    <n v="204"/>
    <s v="100-10000"/>
  </r>
  <r>
    <x v="204"/>
    <x v="204"/>
    <x v="198"/>
    <n v="0.23"/>
    <n v="3280000"/>
    <n v="169600"/>
    <n v="2650000000"/>
    <x v="196"/>
    <n v="204"/>
    <s v="0-0.5"/>
  </r>
  <r>
    <x v="205"/>
    <x v="205"/>
    <x v="199"/>
    <n v="0.09"/>
    <n v="3280000"/>
    <n v="455660"/>
    <n v="204830000"/>
    <x v="197"/>
    <n v="204"/>
    <s v="0-0.5"/>
  </r>
  <r>
    <x v="206"/>
    <x v="206"/>
    <x v="200"/>
    <n v="0.34"/>
    <n v="3280000"/>
    <n v="148500"/>
    <n v="598860000"/>
    <x v="198"/>
    <n v="204"/>
    <s v="0-0.5"/>
  </r>
  <r>
    <x v="207"/>
    <x v="207"/>
    <x v="201"/>
    <n v="0.3"/>
    <n v="3280000"/>
    <n v="4740000"/>
    <n v="6840"/>
    <x v="199"/>
    <n v="204"/>
    <s v="100-10000"/>
  </r>
  <r>
    <x v="208"/>
    <x v="208"/>
    <x v="202"/>
    <n v="3.85"/>
    <n v="3360000"/>
    <n v="441790"/>
    <n v="3740000000"/>
    <x v="200"/>
    <n v="196"/>
    <s v="0-0.5"/>
  </r>
  <r>
    <x v="209"/>
    <x v="209"/>
    <x v="203"/>
    <n v="0.21"/>
    <n v="3270000"/>
    <n v="218630"/>
    <n v="417210000000"/>
    <x v="201"/>
    <n v="210"/>
    <s v="0-0.5"/>
  </r>
  <r>
    <x v="210"/>
    <x v="210"/>
    <x v="204"/>
    <n v="0.98"/>
    <n v="2640000"/>
    <n v="30710"/>
    <n v="420680000000000"/>
    <x v="202"/>
    <n v="211"/>
    <s v="0-0.5"/>
  </r>
  <r>
    <x v="211"/>
    <x v="211"/>
    <x v="205"/>
    <n v="0.01"/>
    <n v="2620000"/>
    <n v="4330"/>
    <n v="664040000"/>
    <x v="203"/>
    <n v="212"/>
    <s v="0-0.5"/>
  </r>
  <r>
    <x v="212"/>
    <x v="212"/>
    <x v="206"/>
    <n v="0.35"/>
    <n v="2620000"/>
    <n v="279310"/>
    <n v="1420000000"/>
    <x v="204"/>
    <n v="212"/>
    <s v="0-0.5"/>
  </r>
  <r>
    <x v="213"/>
    <x v="213"/>
    <x v="207"/>
    <n v="0.48"/>
    <n v="2610000"/>
    <n v="14640"/>
    <n v="96190000"/>
    <x v="205"/>
    <n v="214"/>
    <s v="0-0.5"/>
  </r>
  <r>
    <x v="214"/>
    <x v="214"/>
    <x v="208"/>
    <n v="0.09"/>
    <n v="2600000"/>
    <n v="187120"/>
    <n v="117180000"/>
    <x v="206"/>
    <n v="215"/>
    <s v="0-0.5"/>
  </r>
  <r>
    <x v="215"/>
    <x v="215"/>
    <x v="209"/>
    <n v="0.08"/>
    <n v="2590000"/>
    <n v="155200"/>
    <n v="4680"/>
    <x v="207"/>
    <n v="216"/>
    <s v="100-10000"/>
  </r>
  <r>
    <x v="216"/>
    <x v="216"/>
    <x v="210"/>
    <n v="0.04"/>
    <n v="2580000"/>
    <n v="1130"/>
    <n v="195420000"/>
    <x v="208"/>
    <n v="217"/>
    <s v="0-0.5"/>
  </r>
  <r>
    <x v="217"/>
    <x v="217"/>
    <x v="211"/>
    <n v="0.05"/>
    <n v="2570000"/>
    <n v="430670"/>
    <n v="344850000"/>
    <x v="209"/>
    <n v="218"/>
    <s v="0-0.5"/>
  </r>
  <r>
    <x v="218"/>
    <x v="218"/>
    <x v="212"/>
    <n v="0.28000000000000003"/>
    <n v="2570000"/>
    <n v="112920"/>
    <n v="114350000"/>
    <x v="210"/>
    <n v="218"/>
    <s v="0-0.5"/>
  </r>
  <r>
    <x v="219"/>
    <x v="219"/>
    <x v="213"/>
    <n v="0.32"/>
    <n v="2560000"/>
    <n v="445.59"/>
    <n v="792550000"/>
    <x v="211"/>
    <n v="220"/>
    <s v="0-0.5"/>
  </r>
  <r>
    <x v="220"/>
    <x v="220"/>
    <x v="214"/>
    <n v="2.42"/>
    <n v="2550000"/>
    <n v="156510"/>
    <n v="266770000"/>
    <x v="212"/>
    <n v="221"/>
    <s v="0-0.5"/>
  </r>
  <r>
    <x v="221"/>
    <x v="221"/>
    <x v="215"/>
    <n v="0.26"/>
    <n v="2540000"/>
    <n v="13730"/>
    <n v="5960000000"/>
    <x v="213"/>
    <n v="222"/>
    <s v="0-0.5"/>
  </r>
  <r>
    <x v="222"/>
    <x v="222"/>
    <x v="216"/>
    <n v="0.52"/>
    <n v="2540000"/>
    <n v="23360"/>
    <n v="1430000000"/>
    <x v="214"/>
    <n v="222"/>
    <s v="0-0.5"/>
  </r>
  <r>
    <x v="223"/>
    <x v="223"/>
    <x v="217"/>
    <n v="0.04"/>
    <n v="2540000"/>
    <n v="109700"/>
    <n v="9930000"/>
    <x v="215"/>
    <n v="222"/>
    <s v="0-0.5"/>
  </r>
  <r>
    <x v="224"/>
    <x v="224"/>
    <x v="218"/>
    <n v="0"/>
    <n v="2540000"/>
    <n v="8440"/>
    <n v="61480000"/>
    <x v="216"/>
    <n v="222"/>
    <s v="0-0.5"/>
  </r>
  <r>
    <x v="225"/>
    <x v="225"/>
    <x v="219"/>
    <n v="0.52"/>
    <n v="2040000"/>
    <n v="159560"/>
    <n v="999970000"/>
    <x v="217"/>
    <n v="226"/>
    <s v="0-0.5"/>
  </r>
  <r>
    <x v="226"/>
    <x v="226"/>
    <x v="220"/>
    <n v="1.25"/>
    <n v="2040000"/>
    <n v="242970"/>
    <n v="20580000"/>
    <x v="218"/>
    <n v="226"/>
    <s v="0-0.5"/>
  </r>
  <r>
    <x v="227"/>
    <x v="227"/>
    <x v="221"/>
    <n v="0.04"/>
    <n v="2040000"/>
    <n v="171250"/>
    <n v="5050"/>
    <x v="219"/>
    <n v="226"/>
    <s v="100-10000"/>
  </r>
  <r>
    <x v="228"/>
    <x v="228"/>
    <x v="222"/>
    <n v="2.37"/>
    <n v="2030000"/>
    <n v="6720000"/>
    <n v="34460"/>
    <x v="220"/>
    <n v="229"/>
    <s v="10-100"/>
  </r>
  <r>
    <x v="229"/>
    <x v="229"/>
    <x v="223"/>
    <n v="0.61"/>
    <n v="2030000"/>
    <n v="1760000"/>
    <n v="31780"/>
    <x v="221"/>
    <n v="229"/>
    <s v="10-100"/>
  </r>
  <r>
    <x v="230"/>
    <x v="230"/>
    <x v="224"/>
    <n v="0.47"/>
    <n v="2030000"/>
    <n v="185590"/>
    <n v="904010000"/>
    <x v="222"/>
    <n v="229"/>
    <s v="0-0.5"/>
  </r>
  <r>
    <x v="231"/>
    <x v="231"/>
    <x v="225"/>
    <n v="0.18"/>
    <n v="2020000"/>
    <n v="1290000"/>
    <n v="16590"/>
    <x v="223"/>
    <n v="232"/>
    <s v="100-10000"/>
  </r>
  <r>
    <x v="232"/>
    <x v="232"/>
    <x v="226"/>
    <n v="0.16"/>
    <n v="2020000"/>
    <n v="1640000"/>
    <n v="13710"/>
    <x v="224"/>
    <n v="232"/>
    <s v="100-10000"/>
  </r>
  <r>
    <x v="233"/>
    <x v="233"/>
    <x v="227"/>
    <n v="0.13"/>
    <n v="2010000"/>
    <n v="64330"/>
    <n v="257950000"/>
    <x v="225"/>
    <n v="234"/>
    <s v="0-0.5"/>
  </r>
  <r>
    <x v="234"/>
    <x v="234"/>
    <x v="228"/>
    <n v="1.75"/>
    <n v="2000000"/>
    <n v="8870"/>
    <n v="10260000000"/>
    <x v="226"/>
    <n v="235"/>
    <s v="0-0.5"/>
  </r>
  <r>
    <x v="235"/>
    <x v="235"/>
    <x v="229"/>
    <n v="0"/>
    <n v="2000000"/>
    <m/>
    <n v="299980000"/>
    <x v="78"/>
    <n v="235"/>
    <s v="0-0.5"/>
  </r>
  <r>
    <x v="236"/>
    <x v="236"/>
    <x v="230"/>
    <n v="0.67"/>
    <n v="1990000"/>
    <n v="75080"/>
    <n v="2680000000"/>
    <x v="227"/>
    <n v="237"/>
    <s v="0-0.5"/>
  </r>
  <r>
    <x v="237"/>
    <x v="237"/>
    <x v="231"/>
    <n v="1.29"/>
    <n v="1990000"/>
    <n v="2500"/>
    <n v="151420000000000"/>
    <x v="228"/>
    <n v="237"/>
    <s v="0-0.5"/>
  </r>
  <r>
    <x v="238"/>
    <x v="238"/>
    <x v="232"/>
    <n v="1.92"/>
    <n v="1980000"/>
    <n v="100520"/>
    <n v="7800000000"/>
    <x v="229"/>
    <n v="239"/>
    <s v="0-0.5"/>
  </r>
  <r>
    <x v="239"/>
    <x v="239"/>
    <x v="233"/>
    <n v="0.36"/>
    <n v="1980000"/>
    <n v="826.89"/>
    <n v="77570000000"/>
    <x v="230"/>
    <n v="239"/>
    <s v="0-0.5"/>
  </r>
  <r>
    <x v="240"/>
    <x v="240"/>
    <x v="234"/>
    <n v="2.2599999999999998"/>
    <n v="1620000"/>
    <n v="335.35"/>
    <n v="100000000"/>
    <x v="231"/>
    <n v="241"/>
    <s v="0-0.5"/>
  </r>
  <r>
    <x v="241"/>
    <x v="241"/>
    <x v="235"/>
    <n v="0.04"/>
    <n v="1610000"/>
    <n v="103570"/>
    <n v="1000000000000"/>
    <x v="232"/>
    <n v="242"/>
    <s v="0-0.5"/>
  </r>
  <r>
    <x v="242"/>
    <x v="242"/>
    <x v="236"/>
    <n v="0"/>
    <n v="1600000"/>
    <m/>
    <n v="7700000000"/>
    <x v="78"/>
    <n v="243"/>
    <s v="0-0.5"/>
  </r>
  <r>
    <x v="243"/>
    <x v="243"/>
    <x v="237"/>
    <n v="0.63"/>
    <n v="1600000"/>
    <n v="468100"/>
    <n v="10970"/>
    <x v="233"/>
    <n v="243"/>
    <s v="100-10000"/>
  </r>
  <r>
    <x v="244"/>
    <x v="244"/>
    <x v="238"/>
    <n v="1.36"/>
    <n v="1600000"/>
    <n v="151140"/>
    <n v="537270000"/>
    <x v="234"/>
    <n v="243"/>
    <s v="0-0.5"/>
  </r>
  <r>
    <x v="245"/>
    <x v="245"/>
    <x v="239"/>
    <n v="0"/>
    <n v="1590000"/>
    <n v="23440"/>
    <n v="8790000000"/>
    <x v="235"/>
    <n v="246"/>
    <s v="0-0.5"/>
  </r>
  <r>
    <x v="246"/>
    <x v="246"/>
    <x v="240"/>
    <n v="0.71"/>
    <n v="1590000"/>
    <n v="375690"/>
    <n v="24060000"/>
    <x v="236"/>
    <n v="246"/>
    <s v="0-0.5"/>
  </r>
  <r>
    <x v="247"/>
    <x v="247"/>
    <x v="241"/>
    <n v="0.53"/>
    <n v="1580000"/>
    <n v="324580"/>
    <n v="18710000"/>
    <x v="237"/>
    <n v="249"/>
    <s v="0-0.5"/>
  </r>
  <r>
    <x v="248"/>
    <x v="248"/>
    <x v="242"/>
    <n v="0.27"/>
    <n v="1590000"/>
    <n v="1100000"/>
    <n v="197300000"/>
    <x v="238"/>
    <n v="246"/>
    <s v="0-0.5"/>
  </r>
  <r>
    <x v="249"/>
    <x v="249"/>
    <x v="243"/>
    <n v="0"/>
    <n v="1580000"/>
    <m/>
    <n v="18530"/>
    <x v="78"/>
    <n v="249"/>
    <s v="10-100"/>
  </r>
  <r>
    <x v="250"/>
    <x v="250"/>
    <x v="244"/>
    <n v="0"/>
    <n v="1580000"/>
    <n v="23.89"/>
    <n v="121040000"/>
    <x v="239"/>
    <n v="249"/>
    <s v="0-0.5"/>
  </r>
  <r>
    <x v="251"/>
    <x v="251"/>
    <x v="245"/>
    <n v="0"/>
    <n v="1570000"/>
    <m/>
    <n v="62070000000"/>
    <x v="78"/>
    <n v="252"/>
    <s v="0-0.5"/>
  </r>
  <r>
    <x v="252"/>
    <x v="252"/>
    <x v="246"/>
    <n v="0"/>
    <n v="1570000"/>
    <m/>
    <n v="20640"/>
    <x v="78"/>
    <n v="252"/>
    <s v="10-100"/>
  </r>
  <r>
    <x v="253"/>
    <x v="253"/>
    <x v="247"/>
    <n v="0.19"/>
    <n v="1570000"/>
    <n v="238760"/>
    <n v="19480000"/>
    <x v="240"/>
    <n v="252"/>
    <s v="0-0.5"/>
  </r>
  <r>
    <x v="254"/>
    <x v="254"/>
    <x v="248"/>
    <n v="9.1999999999999993"/>
    <n v="1530000"/>
    <n v="30220"/>
    <n v="2510000000"/>
    <x v="241"/>
    <n v="255"/>
    <s v="0-0.5"/>
  </r>
  <r>
    <x v="255"/>
    <x v="255"/>
    <x v="249"/>
    <n v="0.61"/>
    <n v="1300000"/>
    <n v="277200"/>
    <n v="15050"/>
    <x v="242"/>
    <n v="256"/>
    <s v="10-100"/>
  </r>
  <r>
    <x v="256"/>
    <x v="256"/>
    <x v="250"/>
    <n v="0.01"/>
    <n v="1290000"/>
    <n v="98630"/>
    <n v="663490000"/>
    <x v="243"/>
    <n v="257"/>
    <s v="0-0.5"/>
  </r>
  <r>
    <x v="257"/>
    <x v="257"/>
    <x v="251"/>
    <n v="0.21"/>
    <n v="1290000"/>
    <n v="115470"/>
    <n v="139770000"/>
    <x v="244"/>
    <n v="257"/>
    <s v="0-0.5"/>
  </r>
  <r>
    <x v="258"/>
    <x v="258"/>
    <x v="252"/>
    <n v="0.05"/>
    <n v="1290000"/>
    <n v="1320000"/>
    <n v="2250"/>
    <x v="245"/>
    <n v="257"/>
    <s v="100-10000"/>
  </r>
  <r>
    <x v="259"/>
    <x v="259"/>
    <x v="253"/>
    <n v="0.02"/>
    <n v="1280000"/>
    <m/>
    <n v="54380000"/>
    <x v="78"/>
    <n v="260"/>
    <s v="0-0.5"/>
  </r>
  <r>
    <x v="260"/>
    <x v="256"/>
    <x v="254"/>
    <n v="0"/>
    <n v="1280000"/>
    <m/>
    <n v="267950000"/>
    <x v="78"/>
    <n v="260"/>
    <s v="0-0.5"/>
  </r>
  <r>
    <x v="261"/>
    <x v="260"/>
    <x v="255"/>
    <n v="0.19"/>
    <n v="1270000"/>
    <n v="92100"/>
    <n v="13170000"/>
    <x v="246"/>
    <n v="262"/>
    <s v="0-0.5"/>
  </r>
  <r>
    <x v="262"/>
    <x v="261"/>
    <x v="256"/>
    <n v="5.66"/>
    <n v="1270000"/>
    <n v="56030"/>
    <n v="978220000"/>
    <x v="247"/>
    <n v="262"/>
    <s v="0-0.5"/>
  </r>
  <r>
    <x v="263"/>
    <x v="262"/>
    <x v="257"/>
    <n v="0.55000000000000004"/>
    <n v="1270000"/>
    <n v="49670"/>
    <n v="66000000"/>
    <x v="248"/>
    <n v="262"/>
    <s v="0-0.5"/>
  </r>
  <r>
    <x v="264"/>
    <x v="263"/>
    <x v="258"/>
    <n v="1.1499999999999999"/>
    <n v="1270000"/>
    <n v="305210"/>
    <n v="999820000"/>
    <x v="249"/>
    <n v="262"/>
    <s v="0-0.5"/>
  </r>
  <r>
    <x v="265"/>
    <x v="264"/>
    <x v="259"/>
    <n v="0.15"/>
    <n v="1270000"/>
    <n v="87390"/>
    <n v="503180000"/>
    <x v="250"/>
    <n v="262"/>
    <s v="0-0.5"/>
  </r>
  <r>
    <x v="266"/>
    <x v="265"/>
    <x v="260"/>
    <n v="0.01"/>
    <n v="1270000"/>
    <m/>
    <n v="35890000"/>
    <x v="78"/>
    <n v="262"/>
    <s v="0-0.5"/>
  </r>
  <r>
    <x v="267"/>
    <x v="266"/>
    <x v="261"/>
    <n v="0.01"/>
    <n v="1270000"/>
    <n v="385.44"/>
    <m/>
    <x v="50"/>
    <n v="262"/>
    <s v="0-0.5"/>
  </r>
  <r>
    <x v="268"/>
    <x v="267"/>
    <x v="262"/>
    <n v="0.38"/>
    <n v="1260000"/>
    <n v="54550"/>
    <n v="382950000"/>
    <x v="251"/>
    <n v="269"/>
    <s v="0-0.5"/>
  </r>
  <r>
    <x v="269"/>
    <x v="268"/>
    <x v="263"/>
    <n v="0.63"/>
    <n v="1260000"/>
    <n v="23570"/>
    <n v="4680000000"/>
    <x v="252"/>
    <n v="269"/>
    <s v="0-0.5"/>
  </r>
  <r>
    <x v="270"/>
    <x v="269"/>
    <x v="264"/>
    <n v="0.12"/>
    <n v="1060000"/>
    <n v="150.33000000000001"/>
    <n v="393400000000"/>
    <x v="253"/>
    <n v="271"/>
    <s v="0-0.5"/>
  </r>
  <r>
    <x v="271"/>
    <x v="270"/>
    <x v="265"/>
    <n v="0.48"/>
    <n v="1060000"/>
    <n v="23390"/>
    <n v="420690000000000"/>
    <x v="254"/>
    <n v="271"/>
    <s v="0-0.5"/>
  </r>
  <r>
    <x v="272"/>
    <x v="271"/>
    <x v="266"/>
    <n v="0"/>
    <n v="1050000"/>
    <n v="267140"/>
    <n v="13180000"/>
    <x v="255"/>
    <n v="273"/>
    <s v="0-0.5"/>
  </r>
  <r>
    <x v="273"/>
    <x v="272"/>
    <x v="267"/>
    <n v="0.39"/>
    <n v="1050000"/>
    <n v="798580"/>
    <n v="3720000000"/>
    <x v="256"/>
    <n v="273"/>
    <s v="0-0.5"/>
  </r>
  <r>
    <x v="274"/>
    <x v="273"/>
    <x v="268"/>
    <n v="3.39"/>
    <n v="1050000"/>
    <n v="36950"/>
    <n v="975810000000000"/>
    <x v="257"/>
    <n v="273"/>
    <s v="0-0.5"/>
  </r>
  <r>
    <x v="275"/>
    <x v="274"/>
    <x v="269"/>
    <n v="0.7"/>
    <n v="1050000"/>
    <n v="25090"/>
    <n v="84560000000"/>
    <x v="258"/>
    <n v="273"/>
    <s v="0-0.5"/>
  </r>
  <r>
    <x v="276"/>
    <x v="275"/>
    <x v="270"/>
    <n v="0.2"/>
    <n v="1050000"/>
    <n v="232440"/>
    <n v="940890000"/>
    <x v="259"/>
    <n v="273"/>
    <s v="0-0.5"/>
  </r>
  <r>
    <x v="277"/>
    <x v="276"/>
    <x v="271"/>
    <n v="16.46"/>
    <n v="1040000"/>
    <n v="2020"/>
    <n v="46640"/>
    <x v="260"/>
    <n v="278"/>
    <s v="10-100"/>
  </r>
  <r>
    <x v="278"/>
    <x v="277"/>
    <x v="272"/>
    <n v="1.42"/>
    <n v="1040000"/>
    <n v="52780"/>
    <n v="15900000000"/>
    <x v="261"/>
    <n v="278"/>
    <s v="0-0.5"/>
  </r>
  <r>
    <x v="279"/>
    <x v="278"/>
    <x v="273"/>
    <n v="0"/>
    <n v="1040000"/>
    <m/>
    <n v="10000000000"/>
    <x v="78"/>
    <n v="278"/>
    <s v="0-0.5"/>
  </r>
  <r>
    <x v="280"/>
    <x v="279"/>
    <x v="274"/>
    <n v="0.74"/>
    <n v="1040000"/>
    <n v="1950000"/>
    <n v="5060"/>
    <x v="262"/>
    <n v="278"/>
    <s v="100-10000"/>
  </r>
  <r>
    <x v="281"/>
    <x v="280"/>
    <x v="275"/>
    <n v="0.46"/>
    <n v="1040000"/>
    <n v="41040"/>
    <n v="420690000000"/>
    <x v="263"/>
    <n v="278"/>
    <s v="0-0.5"/>
  </r>
  <r>
    <x v="282"/>
    <x v="281"/>
    <x v="276"/>
    <n v="0.69"/>
    <n v="1040000"/>
    <n v="773890"/>
    <n v="999910000"/>
    <x v="264"/>
    <n v="278"/>
    <s v="0-0.5"/>
  </r>
  <r>
    <x v="283"/>
    <x v="282"/>
    <x v="277"/>
    <n v="0.95"/>
    <n v="1040000"/>
    <n v="118180"/>
    <n v="504080000"/>
    <x v="265"/>
    <n v="278"/>
    <s v="0-0.5"/>
  </r>
  <r>
    <x v="284"/>
    <x v="283"/>
    <x v="278"/>
    <n v="0.01"/>
    <n v="1040000"/>
    <n v="95060"/>
    <n v="14950000"/>
    <x v="266"/>
    <n v="278"/>
    <s v="0-0.5"/>
  </r>
  <r>
    <x v="285"/>
    <x v="284"/>
    <x v="279"/>
    <n v="0"/>
    <n v="882520"/>
    <m/>
    <n v="220000000"/>
    <x v="78"/>
    <n v="286"/>
    <s v="0-0.5"/>
  </r>
  <r>
    <x v="286"/>
    <x v="285"/>
    <x v="280"/>
    <n v="0"/>
    <n v="880500"/>
    <m/>
    <n v="4370000000"/>
    <x v="78"/>
    <n v="288"/>
    <s v="0-0.5"/>
  </r>
  <r>
    <x v="287"/>
    <x v="286"/>
    <x v="281"/>
    <n v="0.01"/>
    <n v="880190"/>
    <n v="11550"/>
    <n v="5420000000"/>
    <x v="267"/>
    <n v="289"/>
    <s v="0-0.5"/>
  </r>
  <r>
    <x v="288"/>
    <x v="287"/>
    <x v="282"/>
    <n v="0.56000000000000005"/>
    <n v="881280"/>
    <n v="1080000"/>
    <n v="13630"/>
    <x v="268"/>
    <n v="287"/>
    <s v="10-100"/>
  </r>
  <r>
    <x v="289"/>
    <x v="288"/>
    <x v="283"/>
    <n v="0.01"/>
    <n v="878560"/>
    <n v="3260"/>
    <n v="48090000"/>
    <x v="269"/>
    <n v="290"/>
    <s v="0-0.5"/>
  </r>
  <r>
    <x v="290"/>
    <x v="289"/>
    <x v="284"/>
    <n v="0.46"/>
    <n v="874010"/>
    <n v="2180000"/>
    <n v="22500000"/>
    <x v="270"/>
    <n v="291"/>
    <s v="0-0.5"/>
  </r>
  <r>
    <x v="291"/>
    <x v="290"/>
    <x v="285"/>
    <n v="0.5"/>
    <n v="873610"/>
    <m/>
    <n v="144290000"/>
    <x v="78"/>
    <n v="292"/>
    <s v="0-0.5"/>
  </r>
  <r>
    <x v="292"/>
    <x v="291"/>
    <x v="286"/>
    <n v="0.05"/>
    <n v="873320"/>
    <n v="1270000"/>
    <n v="3220"/>
    <x v="271"/>
    <n v="293"/>
    <s v="100-10000"/>
  </r>
  <r>
    <x v="293"/>
    <x v="292"/>
    <x v="287"/>
    <n v="0"/>
    <n v="870690"/>
    <m/>
    <n v="8950000000"/>
    <x v="78"/>
    <n v="294"/>
    <s v="0-0.5"/>
  </r>
  <r>
    <x v="294"/>
    <x v="293"/>
    <x v="288"/>
    <n v="0.13"/>
    <n v="870390"/>
    <n v="23600"/>
    <n v="19630000"/>
    <x v="272"/>
    <n v="295"/>
    <s v="0-0.5"/>
  </r>
  <r>
    <x v="295"/>
    <x v="294"/>
    <x v="289"/>
    <n v="0.28000000000000003"/>
    <n v="865490"/>
    <n v="2150000"/>
    <n v="42740"/>
    <x v="273"/>
    <n v="296"/>
    <s v="10-100"/>
  </r>
  <r>
    <x v="296"/>
    <x v="295"/>
    <x v="290"/>
    <n v="0.12"/>
    <n v="864710"/>
    <n v="39030"/>
    <n v="61470000"/>
    <x v="274"/>
    <n v="297"/>
    <s v="0-0.5"/>
  </r>
  <r>
    <x v="297"/>
    <x v="296"/>
    <x v="291"/>
    <n v="0.32"/>
    <n v="863810"/>
    <n v="75990"/>
    <n v="126120000"/>
    <x v="275"/>
    <n v="298"/>
    <s v="0-0.5"/>
  </r>
  <r>
    <x v="298"/>
    <x v="297"/>
    <x v="292"/>
    <n v="2.02"/>
    <n v="863090"/>
    <n v="182740"/>
    <n v="3610000000"/>
    <x v="276"/>
    <n v="299"/>
    <s v="0-0.5"/>
  </r>
  <r>
    <x v="299"/>
    <x v="298"/>
    <x v="293"/>
    <n v="4.4800000000000004"/>
    <n v="861080"/>
    <n v="1760"/>
    <n v="944180000"/>
    <x v="277"/>
    <n v="300"/>
    <s v="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20CA53-DA74-4699-9DA5-1F136EA5FC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A37:B48" firstHeaderRow="1" firstDataRow="1" firstDataCol="1"/>
  <pivotFields count="7">
    <pivotField axis="axisRow" showAll="0" measureFilter="1">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pivotField>
    <pivotField showAll="0"/>
    <pivotField showAll="0">
      <items count="249">
        <item x="77"/>
        <item x="73"/>
        <item x="105"/>
        <item x="208"/>
        <item x="104"/>
        <item x="78"/>
        <item x="43"/>
        <item x="206"/>
        <item x="53"/>
        <item x="103"/>
        <item x="236"/>
        <item x="232"/>
        <item x="183"/>
        <item x="225"/>
        <item x="170"/>
        <item x="95"/>
        <item x="188"/>
        <item x="197"/>
        <item x="237"/>
        <item x="91"/>
        <item x="227"/>
        <item x="212"/>
        <item x="111"/>
        <item x="179"/>
        <item x="63"/>
        <item x="44"/>
        <item x="66"/>
        <item x="187"/>
        <item x="28"/>
        <item x="154"/>
        <item x="223"/>
        <item x="58"/>
        <item x="172"/>
        <item x="131"/>
        <item x="184"/>
        <item x="98"/>
        <item x="242"/>
        <item x="88"/>
        <item x="205"/>
        <item x="247"/>
        <item x="119"/>
        <item x="165"/>
        <item x="57"/>
        <item x="145"/>
        <item x="193"/>
        <item x="140"/>
        <item x="204"/>
        <item x="109"/>
        <item x="100"/>
        <item x="214"/>
        <item x="102"/>
        <item x="168"/>
        <item x="139"/>
        <item x="220"/>
        <item x="159"/>
        <item x="153"/>
        <item x="180"/>
        <item x="85"/>
        <item x="125"/>
        <item x="117"/>
        <item x="171"/>
        <item x="30"/>
        <item x="124"/>
        <item x="216"/>
        <item x="192"/>
        <item x="129"/>
        <item x="246"/>
        <item x="149"/>
        <item x="64"/>
        <item x="134"/>
        <item x="229"/>
        <item x="209"/>
        <item x="181"/>
        <item x="114"/>
        <item x="106"/>
        <item x="144"/>
        <item x="240"/>
        <item x="132"/>
        <item x="226"/>
        <item x="23"/>
        <item x="136"/>
        <item x="190"/>
        <item x="194"/>
        <item x="101"/>
        <item x="222"/>
        <item x="47"/>
        <item x="74"/>
        <item x="150"/>
        <item x="189"/>
        <item x="173"/>
        <item x="138"/>
        <item x="166"/>
        <item x="157"/>
        <item x="72"/>
        <item x="228"/>
        <item x="162"/>
        <item x="107"/>
        <item x="93"/>
        <item x="241"/>
        <item x="60"/>
        <item x="48"/>
        <item x="196"/>
        <item x="99"/>
        <item x="26"/>
        <item x="244"/>
        <item x="61"/>
        <item x="137"/>
        <item x="210"/>
        <item x="33"/>
        <item x="235"/>
        <item x="230"/>
        <item x="24"/>
        <item x="79"/>
        <item x="46"/>
        <item x="81"/>
        <item x="17"/>
        <item x="16"/>
        <item x="70"/>
        <item x="126"/>
        <item x="169"/>
        <item x="213"/>
        <item x="110"/>
        <item x="10"/>
        <item x="238"/>
        <item x="67"/>
        <item x="207"/>
        <item x="76"/>
        <item x="161"/>
        <item x="174"/>
        <item x="65"/>
        <item x="96"/>
        <item x="218"/>
        <item x="231"/>
        <item x="38"/>
        <item x="87"/>
        <item x="186"/>
        <item x="49"/>
        <item x="224"/>
        <item x="198"/>
        <item x="151"/>
        <item x="29"/>
        <item x="80"/>
        <item x="133"/>
        <item x="83"/>
        <item x="113"/>
        <item x="164"/>
        <item x="97"/>
        <item x="163"/>
        <item x="21"/>
        <item x="42"/>
        <item x="155"/>
        <item x="14"/>
        <item x="55"/>
        <item x="54"/>
        <item x="36"/>
        <item x="27"/>
        <item x="118"/>
        <item x="175"/>
        <item x="176"/>
        <item x="158"/>
        <item x="195"/>
        <item x="84"/>
        <item x="69"/>
        <item x="152"/>
        <item x="52"/>
        <item x="50"/>
        <item x="8"/>
        <item x="112"/>
        <item x="56"/>
        <item x="45"/>
        <item x="62"/>
        <item x="19"/>
        <item x="142"/>
        <item x="148"/>
        <item x="115"/>
        <item x="31"/>
        <item x="15"/>
        <item x="127"/>
        <item x="141"/>
        <item x="130"/>
        <item x="34"/>
        <item x="121"/>
        <item x="39"/>
        <item x="3"/>
        <item x="40"/>
        <item x="41"/>
        <item x="5"/>
        <item x="35"/>
        <item x="18"/>
        <item x="6"/>
        <item x="32"/>
        <item x="68"/>
        <item x="90"/>
        <item x="22"/>
        <item x="123"/>
        <item x="86"/>
        <item x="51"/>
        <item x="37"/>
        <item x="156"/>
        <item x="11"/>
        <item x="20"/>
        <item x="25"/>
        <item x="71"/>
        <item x="116"/>
        <item x="245"/>
        <item x="233"/>
        <item x="75"/>
        <item x="177"/>
        <item x="9"/>
        <item x="178"/>
        <item x="200"/>
        <item x="201"/>
        <item x="239"/>
        <item x="147"/>
        <item x="7"/>
        <item x="122"/>
        <item x="217"/>
        <item x="215"/>
        <item x="219"/>
        <item x="120"/>
        <item x="143"/>
        <item x="146"/>
        <item x="82"/>
        <item x="202"/>
        <item x="182"/>
        <item x="0"/>
        <item x="211"/>
        <item x="203"/>
        <item x="108"/>
        <item x="135"/>
        <item x="59"/>
        <item x="234"/>
        <item x="243"/>
        <item x="128"/>
        <item x="13"/>
        <item x="160"/>
        <item x="199"/>
        <item x="12"/>
        <item x="185"/>
        <item x="191"/>
        <item x="221"/>
        <item x="4"/>
        <item x="167"/>
        <item x="94"/>
        <item x="89"/>
        <item x="92"/>
        <item x="2"/>
        <item x="1"/>
        <item t="default"/>
      </items>
    </pivotField>
    <pivotField dataField="1" showAll="0">
      <items count="120">
        <item x="9"/>
        <item x="1"/>
        <item x="21"/>
        <item x="6"/>
        <item x="91"/>
        <item x="64"/>
        <item x="4"/>
        <item x="56"/>
        <item x="30"/>
        <item x="35"/>
        <item x="29"/>
        <item x="31"/>
        <item x="40"/>
        <item x="23"/>
        <item x="39"/>
        <item x="75"/>
        <item x="0"/>
        <item x="57"/>
        <item x="15"/>
        <item x="26"/>
        <item x="13"/>
        <item x="3"/>
        <item x="10"/>
        <item x="41"/>
        <item x="5"/>
        <item x="73"/>
        <item x="72"/>
        <item x="2"/>
        <item x="49"/>
        <item x="46"/>
        <item x="87"/>
        <item x="33"/>
        <item x="81"/>
        <item x="52"/>
        <item x="25"/>
        <item x="60"/>
        <item x="37"/>
        <item x="55"/>
        <item x="61"/>
        <item x="20"/>
        <item x="19"/>
        <item x="8"/>
        <item x="22"/>
        <item x="34"/>
        <item x="17"/>
        <item x="18"/>
        <item x="90"/>
        <item x="116"/>
        <item x="54"/>
        <item x="93"/>
        <item x="65"/>
        <item x="69"/>
        <item x="107"/>
        <item x="115"/>
        <item x="80"/>
        <item x="11"/>
        <item x="32"/>
        <item x="96"/>
        <item x="59"/>
        <item x="102"/>
        <item x="43"/>
        <item x="98"/>
        <item x="51"/>
        <item x="110"/>
        <item x="104"/>
        <item x="113"/>
        <item x="53"/>
        <item x="38"/>
        <item x="50"/>
        <item x="70"/>
        <item x="44"/>
        <item x="14"/>
        <item x="63"/>
        <item x="24"/>
        <item x="12"/>
        <item x="86"/>
        <item x="68"/>
        <item x="58"/>
        <item x="7"/>
        <item x="114"/>
        <item x="89"/>
        <item x="77"/>
        <item x="83"/>
        <item x="45"/>
        <item x="36"/>
        <item x="66"/>
        <item x="79"/>
        <item x="27"/>
        <item x="28"/>
        <item x="108"/>
        <item x="85"/>
        <item x="71"/>
        <item x="94"/>
        <item x="99"/>
        <item x="103"/>
        <item x="112"/>
        <item x="16"/>
        <item x="82"/>
        <item x="97"/>
        <item x="78"/>
        <item x="100"/>
        <item x="42"/>
        <item x="47"/>
        <item x="117"/>
        <item x="101"/>
        <item x="95"/>
        <item x="92"/>
        <item x="62"/>
        <item x="76"/>
        <item x="74"/>
        <item x="109"/>
        <item x="88"/>
        <item x="67"/>
        <item x="118"/>
        <item x="48"/>
        <item x="84"/>
        <item x="106"/>
        <item x="105"/>
        <item x="111"/>
        <item t="default"/>
      </items>
    </pivotField>
    <pivotField showAll="0"/>
    <pivotField showAll="0"/>
    <pivotField showAll="0"/>
  </pivotFields>
  <rowFields count="1">
    <field x="0"/>
  </rowFields>
  <rowItems count="11">
    <i>
      <x v="12"/>
    </i>
    <i>
      <x v="21"/>
    </i>
    <i>
      <x v="95"/>
    </i>
    <i>
      <x v="107"/>
    </i>
    <i>
      <x v="152"/>
    </i>
    <i>
      <x v="174"/>
    </i>
    <i>
      <x v="185"/>
    </i>
    <i>
      <x v="192"/>
    </i>
    <i>
      <x v="219"/>
    </i>
    <i>
      <x v="270"/>
    </i>
    <i t="grand">
      <x/>
    </i>
  </rowItems>
  <colItems count="1">
    <i/>
  </colItems>
  <dataFields count="1">
    <dataField name="Sum of 1h Change (%)" fld="3"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B14CC-06BD-4AC0-859F-E01B9ACEAC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in Name">
  <location ref="A2:B13" firstHeaderRow="1" firstDataRow="1" firstDataCol="1"/>
  <pivotFields count="7">
    <pivotField axis="axisRow" showAll="0" measureFilter="1">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pivotField>
    <pivotField showAll="0"/>
    <pivotField dataField="1" showAll="0">
      <items count="249">
        <item x="77"/>
        <item x="73"/>
        <item x="105"/>
        <item x="208"/>
        <item x="104"/>
        <item x="78"/>
        <item x="43"/>
        <item x="206"/>
        <item x="53"/>
        <item x="103"/>
        <item x="236"/>
        <item x="232"/>
        <item x="183"/>
        <item x="225"/>
        <item x="170"/>
        <item x="95"/>
        <item x="188"/>
        <item x="197"/>
        <item x="237"/>
        <item x="91"/>
        <item x="227"/>
        <item x="212"/>
        <item x="111"/>
        <item x="179"/>
        <item x="63"/>
        <item x="44"/>
        <item x="66"/>
        <item x="187"/>
        <item x="28"/>
        <item x="154"/>
        <item x="223"/>
        <item x="58"/>
        <item x="172"/>
        <item x="131"/>
        <item x="184"/>
        <item x="98"/>
        <item x="242"/>
        <item x="88"/>
        <item x="205"/>
        <item x="247"/>
        <item x="119"/>
        <item x="165"/>
        <item x="57"/>
        <item x="145"/>
        <item x="193"/>
        <item x="140"/>
        <item x="204"/>
        <item x="109"/>
        <item x="100"/>
        <item x="214"/>
        <item x="102"/>
        <item x="168"/>
        <item x="139"/>
        <item x="220"/>
        <item x="159"/>
        <item x="153"/>
        <item x="180"/>
        <item x="85"/>
        <item x="125"/>
        <item x="117"/>
        <item x="171"/>
        <item x="30"/>
        <item x="124"/>
        <item x="216"/>
        <item x="192"/>
        <item x="129"/>
        <item x="246"/>
        <item x="149"/>
        <item x="64"/>
        <item x="134"/>
        <item x="229"/>
        <item x="209"/>
        <item x="181"/>
        <item x="114"/>
        <item x="106"/>
        <item x="144"/>
        <item x="240"/>
        <item x="132"/>
        <item x="226"/>
        <item x="23"/>
        <item x="136"/>
        <item x="190"/>
        <item x="194"/>
        <item x="101"/>
        <item x="222"/>
        <item x="47"/>
        <item x="74"/>
        <item x="150"/>
        <item x="189"/>
        <item x="173"/>
        <item x="138"/>
        <item x="166"/>
        <item x="157"/>
        <item x="72"/>
        <item x="228"/>
        <item x="162"/>
        <item x="107"/>
        <item x="93"/>
        <item x="241"/>
        <item x="60"/>
        <item x="48"/>
        <item x="196"/>
        <item x="99"/>
        <item x="26"/>
        <item x="244"/>
        <item x="61"/>
        <item x="137"/>
        <item x="210"/>
        <item x="33"/>
        <item x="235"/>
        <item x="230"/>
        <item x="24"/>
        <item x="79"/>
        <item x="46"/>
        <item x="81"/>
        <item x="17"/>
        <item x="16"/>
        <item x="70"/>
        <item x="126"/>
        <item x="169"/>
        <item x="213"/>
        <item x="110"/>
        <item x="10"/>
        <item x="238"/>
        <item x="67"/>
        <item x="207"/>
        <item x="76"/>
        <item x="161"/>
        <item x="174"/>
        <item x="65"/>
        <item x="96"/>
        <item x="218"/>
        <item x="231"/>
        <item x="38"/>
        <item x="87"/>
        <item x="186"/>
        <item x="49"/>
        <item x="224"/>
        <item x="198"/>
        <item x="151"/>
        <item x="29"/>
        <item x="80"/>
        <item x="133"/>
        <item x="83"/>
        <item x="113"/>
        <item x="164"/>
        <item x="97"/>
        <item x="163"/>
        <item x="21"/>
        <item x="42"/>
        <item x="155"/>
        <item x="14"/>
        <item x="55"/>
        <item x="54"/>
        <item x="36"/>
        <item x="27"/>
        <item x="118"/>
        <item x="175"/>
        <item x="176"/>
        <item x="158"/>
        <item x="195"/>
        <item x="84"/>
        <item x="69"/>
        <item x="152"/>
        <item x="52"/>
        <item x="50"/>
        <item x="8"/>
        <item x="112"/>
        <item x="56"/>
        <item x="45"/>
        <item x="62"/>
        <item x="19"/>
        <item x="142"/>
        <item x="148"/>
        <item x="115"/>
        <item x="31"/>
        <item x="15"/>
        <item x="127"/>
        <item x="141"/>
        <item x="130"/>
        <item x="34"/>
        <item x="121"/>
        <item x="39"/>
        <item x="3"/>
        <item x="40"/>
        <item x="41"/>
        <item x="5"/>
        <item x="35"/>
        <item x="18"/>
        <item x="6"/>
        <item x="32"/>
        <item x="68"/>
        <item x="90"/>
        <item x="22"/>
        <item x="123"/>
        <item x="86"/>
        <item x="51"/>
        <item x="37"/>
        <item x="156"/>
        <item x="11"/>
        <item x="20"/>
        <item x="25"/>
        <item x="71"/>
        <item x="116"/>
        <item x="245"/>
        <item x="233"/>
        <item x="75"/>
        <item x="177"/>
        <item x="9"/>
        <item x="178"/>
        <item x="200"/>
        <item x="201"/>
        <item x="239"/>
        <item x="147"/>
        <item x="7"/>
        <item x="122"/>
        <item x="217"/>
        <item x="215"/>
        <item x="219"/>
        <item x="120"/>
        <item x="143"/>
        <item x="146"/>
        <item x="82"/>
        <item x="202"/>
        <item x="182"/>
        <item x="0"/>
        <item x="211"/>
        <item x="203"/>
        <item x="108"/>
        <item x="135"/>
        <item x="59"/>
        <item x="234"/>
        <item x="243"/>
        <item x="128"/>
        <item x="13"/>
        <item x="160"/>
        <item x="199"/>
        <item x="12"/>
        <item x="185"/>
        <item x="191"/>
        <item x="221"/>
        <item x="4"/>
        <item x="167"/>
        <item x="94"/>
        <item x="89"/>
        <item x="92"/>
        <item x="2"/>
        <item x="1"/>
        <item t="default"/>
      </items>
    </pivotField>
    <pivotField showAll="0"/>
    <pivotField showAll="0"/>
    <pivotField showAll="0"/>
    <pivotField showAll="0"/>
  </pivotFields>
  <rowFields count="1">
    <field x="0"/>
  </rowFields>
  <rowItems count="11">
    <i>
      <x v="2"/>
    </i>
    <i>
      <x v="33"/>
    </i>
    <i>
      <x v="44"/>
    </i>
    <i>
      <x v="84"/>
    </i>
    <i>
      <x v="149"/>
    </i>
    <i>
      <x v="159"/>
    </i>
    <i>
      <x v="162"/>
    </i>
    <i>
      <x v="166"/>
    </i>
    <i>
      <x v="189"/>
    </i>
    <i>
      <x v="225"/>
    </i>
    <i t="grand">
      <x/>
    </i>
  </rowItems>
  <colItems count="1">
    <i/>
  </colItems>
  <dataFields count="1">
    <dataField name="Sum of Price (USD)" fld="2"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A47327-AB36-446F-BC34-2301133C37D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in Name">
  <location ref="W64:X85" firstHeaderRow="1" firstDataRow="1" firstDataCol="1"/>
  <pivotFields count="10">
    <pivotField axis="axisRow" showAll="0" measureFilter="1" sortType="descending">
      <items count="301">
        <item x="49"/>
        <item x="12"/>
        <item x="118"/>
        <item x="248"/>
        <item x="133"/>
        <item x="6"/>
        <item x="234"/>
        <item x="200"/>
        <item x="81"/>
        <item x="80"/>
        <item x="100"/>
        <item x="255"/>
        <item x="112"/>
        <item x="217"/>
        <item x="196"/>
        <item x="181"/>
        <item x="240"/>
        <item x="160"/>
        <item x="111"/>
        <item x="221"/>
        <item x="178"/>
        <item x="40"/>
        <item x="78"/>
        <item x="35"/>
        <item x="5"/>
        <item x="127"/>
        <item x="42"/>
        <item x="11"/>
        <item x="43"/>
        <item x="277"/>
        <item x="54"/>
        <item x="227"/>
        <item x="8"/>
        <item x="176"/>
        <item x="169"/>
        <item x="152"/>
        <item x="246"/>
        <item x="261"/>
        <item x="103"/>
        <item x="64"/>
        <item x="58"/>
        <item x="264"/>
        <item x="27"/>
        <item x="3"/>
        <item x="134"/>
        <item x="257"/>
        <item x="73"/>
        <item x="223"/>
        <item x="116"/>
        <item x="171"/>
        <item x="211"/>
        <item x="233"/>
        <item x="126"/>
        <item x="98"/>
        <item x="106"/>
        <item x="21"/>
        <item x="158"/>
        <item x="297"/>
        <item x="156"/>
        <item x="91"/>
        <item x="41"/>
        <item x="7"/>
        <item x="122"/>
        <item x="291"/>
        <item x="82"/>
        <item x="267"/>
        <item x="236"/>
        <item x="298"/>
        <item x="86"/>
        <item x="289"/>
        <item x="179"/>
        <item x="130"/>
        <item x="273"/>
        <item x="101"/>
        <item x="97"/>
        <item x="189"/>
        <item x="197"/>
        <item x="62"/>
        <item x="102"/>
        <item x="288"/>
        <item x="114"/>
        <item x="252"/>
        <item x="249"/>
        <item x="266"/>
        <item x="199"/>
        <item x="256"/>
        <item x="45"/>
        <item x="253"/>
        <item x="30"/>
        <item x="124"/>
        <item x="278"/>
        <item x="168"/>
        <item x="232"/>
        <item x="123"/>
        <item x="209"/>
        <item x="229"/>
        <item x="272"/>
        <item x="271"/>
        <item x="194"/>
        <item x="46"/>
        <item x="263"/>
        <item x="163"/>
        <item x="22"/>
        <item x="210"/>
        <item x="61"/>
        <item x="74"/>
        <item x="71"/>
        <item x="131"/>
        <item x="56"/>
        <item x="294"/>
        <item x="99"/>
        <item x="104"/>
        <item x="32"/>
        <item x="129"/>
        <item x="208"/>
        <item x="60"/>
        <item x="283"/>
        <item x="230"/>
        <item x="216"/>
        <item x="76"/>
        <item x="146"/>
        <item x="282"/>
        <item x="137"/>
        <item x="185"/>
        <item x="142"/>
        <item x="299"/>
        <item x="57"/>
        <item x="154"/>
        <item x="148"/>
        <item x="13"/>
        <item x="23"/>
        <item x="186"/>
        <item x="66"/>
        <item x="93"/>
        <item x="250"/>
        <item x="96"/>
        <item x="125"/>
        <item x="215"/>
        <item x="136"/>
        <item x="218"/>
        <item x="258"/>
        <item x="113"/>
        <item x="201"/>
        <item x="170"/>
        <item x="85"/>
        <item x="77"/>
        <item x="173"/>
        <item x="262"/>
        <item x="51"/>
        <item x="182"/>
        <item x="183"/>
        <item x="285"/>
        <item x="184"/>
        <item x="235"/>
        <item x="15"/>
        <item x="279"/>
        <item x="166"/>
        <item x="52"/>
        <item x="241"/>
        <item x="145"/>
        <item x="18"/>
        <item x="37"/>
        <item x="19"/>
        <item x="147"/>
        <item x="237"/>
        <item x="47"/>
        <item x="28"/>
        <item x="157"/>
        <item x="128"/>
        <item x="65"/>
        <item x="95"/>
        <item x="144"/>
        <item x="105"/>
        <item x="212"/>
        <item x="84"/>
        <item x="29"/>
        <item x="90"/>
        <item x="9"/>
        <item x="167"/>
        <item x="276"/>
        <item x="115"/>
        <item x="238"/>
        <item x="33"/>
        <item x="190"/>
        <item x="281"/>
        <item x="270"/>
        <item x="293"/>
        <item x="79"/>
        <item x="251"/>
        <item x="135"/>
        <item x="275"/>
        <item x="159"/>
        <item x="274"/>
        <item x="165"/>
        <item x="295"/>
        <item x="219"/>
        <item x="92"/>
        <item x="39"/>
        <item x="206"/>
        <item x="67"/>
        <item x="265"/>
        <item x="284"/>
        <item x="119"/>
        <item x="191"/>
        <item x="254"/>
        <item x="205"/>
        <item x="59"/>
        <item x="108"/>
        <item x="214"/>
        <item x="226"/>
        <item x="121"/>
        <item x="164"/>
        <item x="149"/>
        <item x="34"/>
        <item x="70"/>
        <item x="2"/>
        <item x="172"/>
        <item x="180"/>
        <item x="222"/>
        <item x="83"/>
        <item x="44"/>
        <item x="150"/>
        <item x="225"/>
        <item x="244"/>
        <item x="143"/>
        <item x="10"/>
        <item x="202"/>
        <item x="260"/>
        <item x="290"/>
        <item x="287"/>
        <item x="25"/>
        <item x="31"/>
        <item x="141"/>
        <item x="161"/>
        <item x="268"/>
        <item x="69"/>
        <item x="26"/>
        <item x="0"/>
        <item x="243"/>
        <item x="140"/>
        <item x="94"/>
        <item x="259"/>
        <item x="204"/>
        <item x="72"/>
        <item x="286"/>
        <item x="193"/>
        <item x="14"/>
        <item x="36"/>
        <item x="187"/>
        <item x="174"/>
        <item x="68"/>
        <item x="239"/>
        <item x="213"/>
        <item x="24"/>
        <item x="139"/>
        <item x="4"/>
        <item x="280"/>
        <item x="296"/>
        <item x="87"/>
        <item x="107"/>
        <item x="110"/>
        <item x="17"/>
        <item x="177"/>
        <item x="63"/>
        <item x="20"/>
        <item x="132"/>
        <item x="1"/>
        <item x="242"/>
        <item x="245"/>
        <item x="48"/>
        <item x="224"/>
        <item x="38"/>
        <item x="88"/>
        <item x="162"/>
        <item x="50"/>
        <item x="228"/>
        <item x="155"/>
        <item x="120"/>
        <item x="75"/>
        <item x="198"/>
        <item x="151"/>
        <item x="247"/>
        <item x="109"/>
        <item x="192"/>
        <item x="55"/>
        <item x="153"/>
        <item x="89"/>
        <item x="195"/>
        <item x="292"/>
        <item x="175"/>
        <item x="53"/>
        <item x="203"/>
        <item x="231"/>
        <item x="220"/>
        <item x="188"/>
        <item x="138"/>
        <item x="16"/>
        <item x="207"/>
        <item x="117"/>
        <item x="269"/>
        <item t="default"/>
      </items>
    </pivotField>
    <pivotField axis="axisRow" showAll="0">
      <items count="300">
        <item x="23"/>
        <item x="55"/>
        <item x="273"/>
        <item x="209"/>
        <item x="257"/>
        <item x="192"/>
        <item x="153"/>
        <item x="138"/>
        <item x="14"/>
        <item x="268"/>
        <item x="117"/>
        <item x="188"/>
        <item x="53"/>
        <item x="207"/>
        <item x="291"/>
        <item x="109"/>
        <item x="247"/>
        <item x="151"/>
        <item x="75"/>
        <item x="198"/>
        <item x="175"/>
        <item x="120"/>
        <item x="155"/>
        <item x="174"/>
        <item x="228"/>
        <item x="220"/>
        <item x="231"/>
        <item x="203"/>
        <item x="50"/>
        <item x="162"/>
        <item x="164"/>
        <item x="201"/>
        <item x="132"/>
        <item x="187"/>
        <item x="63"/>
        <item x="38"/>
        <item x="279"/>
        <item x="224"/>
        <item x="48"/>
        <item x="245"/>
        <item x="242"/>
        <item x="110"/>
        <item x="107"/>
        <item x="4"/>
        <item x="88"/>
        <item x="139"/>
        <item x="24"/>
        <item x="213"/>
        <item x="239"/>
        <item x="68"/>
        <item x="87"/>
        <item x="295"/>
        <item x="20"/>
        <item x="1"/>
        <item x="17"/>
        <item x="249"/>
        <item x="193"/>
        <item x="72"/>
        <item x="204"/>
        <item x="26"/>
        <item x="118"/>
        <item x="0"/>
        <item x="140"/>
        <item x="267"/>
        <item x="69"/>
        <item x="36"/>
        <item x="286"/>
        <item x="25"/>
        <item x="31"/>
        <item x="141"/>
        <item x="259"/>
        <item x="202"/>
        <item x="225"/>
        <item x="289"/>
        <item x="10"/>
        <item x="143"/>
        <item x="244"/>
        <item x="197"/>
        <item x="150"/>
        <item x="44"/>
        <item x="83"/>
        <item x="161"/>
        <item x="234"/>
        <item x="180"/>
        <item x="157"/>
        <item x="172"/>
        <item x="222"/>
        <item x="2"/>
        <item x="70"/>
        <item x="158"/>
        <item x="149"/>
        <item x="121"/>
        <item x="214"/>
        <item x="195"/>
        <item x="226"/>
        <item x="108"/>
        <item x="59"/>
        <item x="283"/>
        <item x="205"/>
        <item x="191"/>
        <item x="119"/>
        <item x="206"/>
        <item x="39"/>
        <item x="264"/>
        <item x="148"/>
        <item x="92"/>
        <item x="219"/>
        <item x="165"/>
        <item x="67"/>
        <item x="254"/>
        <item x="159"/>
        <item x="274"/>
        <item x="238"/>
        <item x="135"/>
        <item x="275"/>
        <item x="251"/>
        <item x="79"/>
        <item x="292"/>
        <item x="269"/>
        <item x="280"/>
        <item x="190"/>
        <item x="33"/>
        <item x="9"/>
        <item x="128"/>
        <item x="84"/>
        <item x="90"/>
        <item x="212"/>
        <item x="29"/>
        <item x="105"/>
        <item x="95"/>
        <item x="65"/>
        <item x="28"/>
        <item x="47"/>
        <item x="237"/>
        <item x="147"/>
        <item x="37"/>
        <item x="19"/>
        <item x="18"/>
        <item x="145"/>
        <item x="241"/>
        <item x="52"/>
        <item x="166"/>
        <item x="194"/>
        <item x="11"/>
        <item x="235"/>
        <item x="177"/>
        <item x="184"/>
        <item x="284"/>
        <item x="183"/>
        <item x="278"/>
        <item x="261"/>
        <item x="51"/>
        <item x="173"/>
        <item x="85"/>
        <item x="258"/>
        <item x="170"/>
        <item x="218"/>
        <item x="136"/>
        <item x="125"/>
        <item x="250"/>
        <item x="182"/>
        <item x="77"/>
        <item x="66"/>
        <item x="186"/>
        <item x="113"/>
        <item x="126"/>
        <item x="96"/>
        <item x="294"/>
        <item x="142"/>
        <item x="298"/>
        <item x="16"/>
        <item x="76"/>
        <item x="146"/>
        <item x="282"/>
        <item x="230"/>
        <item x="60"/>
        <item x="137"/>
        <item x="208"/>
        <item x="129"/>
        <item x="293"/>
        <item x="71"/>
        <item x="104"/>
        <item x="56"/>
        <item x="131"/>
        <item x="74"/>
        <item x="210"/>
        <item x="22"/>
        <item x="281"/>
        <item x="163"/>
        <item x="262"/>
        <item x="252"/>
        <item x="61"/>
        <item x="270"/>
        <item x="271"/>
        <item x="99"/>
        <item x="46"/>
        <item x="216"/>
        <item x="123"/>
        <item x="232"/>
        <item x="168"/>
        <item x="124"/>
        <item x="30"/>
        <item x="253"/>
        <item x="243"/>
        <item x="256"/>
        <item x="199"/>
        <item x="265"/>
        <item x="167"/>
        <item x="114"/>
        <item x="287"/>
        <item x="215"/>
        <item x="93"/>
        <item x="102"/>
        <item x="62"/>
        <item x="97"/>
        <item x="189"/>
        <item x="227"/>
        <item x="45"/>
        <item x="277"/>
        <item x="101"/>
        <item x="272"/>
        <item x="130"/>
        <item x="179"/>
        <item x="296"/>
        <item x="82"/>
        <item x="288"/>
        <item x="236"/>
        <item x="154"/>
        <item x="266"/>
        <item x="297"/>
        <item x="285"/>
        <item x="169"/>
        <item x="122"/>
        <item x="7"/>
        <item x="91"/>
        <item x="86"/>
        <item x="156"/>
        <item x="260"/>
        <item x="106"/>
        <item x="98"/>
        <item x="233"/>
        <item x="21"/>
        <item x="211"/>
        <item x="171"/>
        <item x="64"/>
        <item x="116"/>
        <item x="223"/>
        <item x="58"/>
        <item x="103"/>
        <item x="229"/>
        <item x="152"/>
        <item x="73"/>
        <item x="176"/>
        <item x="144"/>
        <item x="8"/>
        <item x="134"/>
        <item x="246"/>
        <item x="54"/>
        <item x="43"/>
        <item x="276"/>
        <item x="40"/>
        <item x="42"/>
        <item x="127"/>
        <item x="5"/>
        <item x="34"/>
        <item x="35"/>
        <item x="78"/>
        <item x="3"/>
        <item x="32"/>
        <item x="41"/>
        <item x="178"/>
        <item x="221"/>
        <item x="160"/>
        <item x="111"/>
        <item x="240"/>
        <item x="181"/>
        <item x="196"/>
        <item x="217"/>
        <item x="200"/>
        <item x="100"/>
        <item x="112"/>
        <item x="115"/>
        <item x="255"/>
        <item x="263"/>
        <item x="81"/>
        <item x="80"/>
        <item x="290"/>
        <item x="89"/>
        <item x="94"/>
        <item x="185"/>
        <item x="13"/>
        <item x="57"/>
        <item x="6"/>
        <item x="133"/>
        <item x="248"/>
        <item x="27"/>
        <item x="12"/>
        <item x="49"/>
        <item x="15"/>
        <item t="default"/>
      </items>
    </pivotField>
    <pivotField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dataField="1" showAll="0"/>
    <pivotField showAll="0"/>
    <pivotField showAll="0"/>
    <pivotField showAll="0"/>
    <pivotField showAll="0"/>
    <pivotField showAll="0"/>
    <pivotField showAll="0"/>
  </pivotFields>
  <rowFields count="2">
    <field x="0"/>
    <field x="1"/>
  </rowFields>
  <rowItems count="21">
    <i>
      <x v="29"/>
    </i>
    <i r="1">
      <x v="259"/>
    </i>
    <i>
      <x v="80"/>
    </i>
    <i r="1">
      <x v="208"/>
    </i>
    <i>
      <x v="107"/>
    </i>
    <i r="1">
      <x v="183"/>
    </i>
    <i>
      <x v="114"/>
    </i>
    <i r="1">
      <x v="177"/>
    </i>
    <i>
      <x v="125"/>
    </i>
    <i r="1">
      <x v="169"/>
    </i>
    <i>
      <x v="147"/>
    </i>
    <i r="1">
      <x v="150"/>
    </i>
    <i>
      <x v="192"/>
    </i>
    <i r="1">
      <x v="2"/>
    </i>
    <i>
      <x v="204"/>
    </i>
    <i r="1">
      <x v="109"/>
    </i>
    <i>
      <x v="278"/>
    </i>
    <i r="1">
      <x v="18"/>
    </i>
    <i>
      <x v="287"/>
    </i>
    <i r="1">
      <x v="93"/>
    </i>
    <i t="grand">
      <x/>
    </i>
  </rowItems>
  <colItems count="1">
    <i/>
  </colItems>
  <dataFields count="1">
    <dataField name="Sum of 1h Change (%)"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EE197-506B-4FC3-99DD-6EAAA7FECD2C}"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in Name">
  <location ref="Q114:Q115" firstHeaderRow="1" firstDataRow="1" firstDataCol="0"/>
  <pivotFields count="10">
    <pivotField showAll="0">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pivotField>
    <pivotField showAll="0"/>
    <pivotField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Sum of Circulating Suppl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1E0BDC-49F0-4F85-8983-47D64059A37D}"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in Name">
  <location ref="Q111:Q112" firstHeaderRow="1" firstDataRow="1" firstDataCol="0"/>
  <pivotFields count="10">
    <pivotField showAll="0">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pivotField>
    <pivotField showAll="0"/>
    <pivotField dataField="1"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showAll="0"/>
    <pivotField showAll="0"/>
    <pivotField showAll="0"/>
    <pivotField showAll="0"/>
    <pivotField showAll="0"/>
    <pivotField showAll="0"/>
    <pivotField showAll="0"/>
  </pivotFields>
  <rowItems count="1">
    <i/>
  </rowItems>
  <colItems count="1">
    <i/>
  </colItems>
  <dataFields count="1">
    <dataField name="Sum of Price (US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8B191-6A7E-4A08-B25D-61CC570410EB}"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in Name">
  <location ref="A2:B13" firstHeaderRow="1" firstDataRow="1" firstDataCol="1"/>
  <pivotFields count="10">
    <pivotField axis="axisRow" showAll="0" measureFilter="1">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pivotField>
    <pivotField showAll="0"/>
    <pivotField dataField="1"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showAll="0"/>
    <pivotField showAll="0"/>
    <pivotField showAll="0"/>
    <pivotField showAll="0"/>
    <pivotField showAll="0"/>
    <pivotField showAll="0"/>
    <pivotField showAll="0"/>
  </pivotFields>
  <rowFields count="1">
    <field x="0"/>
  </rowFields>
  <rowItems count="11">
    <i>
      <x v="2"/>
    </i>
    <i>
      <x v="33"/>
    </i>
    <i>
      <x v="44"/>
    </i>
    <i>
      <x v="84"/>
    </i>
    <i>
      <x v="149"/>
    </i>
    <i>
      <x v="159"/>
    </i>
    <i>
      <x v="162"/>
    </i>
    <i>
      <x v="166"/>
    </i>
    <i>
      <x v="189"/>
    </i>
    <i>
      <x v="225"/>
    </i>
    <i t="grand">
      <x/>
    </i>
  </rowItems>
  <colItems count="1">
    <i/>
  </colItems>
  <dataFields count="1">
    <dataField name="Sum of Price (USD)"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BA914C-EE14-45C9-85BA-0EC56A148646}"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in Name">
  <location ref="Q108:Q109" firstHeaderRow="1" firstDataRow="1" firstDataCol="0"/>
  <pivotFields count="10">
    <pivotField showAll="0" sortType="descending">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autoSortScope>
        <pivotArea dataOnly="0" outline="0" fieldPosition="0">
          <references count="1">
            <reference field="4294967294" count="1" selected="0">
              <x v="0"/>
            </reference>
          </references>
        </pivotArea>
      </autoSortScope>
    </pivotField>
    <pivotField showAll="0"/>
    <pivotField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Sum of Market C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E82879-CC49-46AC-A7FF-3EBCB8F3A4CF}"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in Name">
  <location ref="A57:B358" firstHeaderRow="1" firstDataRow="1" firstDataCol="1"/>
  <pivotFields count="10">
    <pivotField axis="axisRow" showAll="0" sortType="descending">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autoSortScope>
        <pivotArea dataOnly="0" outline="0" fieldPosition="0">
          <references count="1">
            <reference field="4294967294" count="1" selected="0">
              <x v="0"/>
            </reference>
          </references>
        </pivotArea>
      </autoSortScope>
    </pivotField>
    <pivotField showAll="0"/>
    <pivotField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showAll="0"/>
    <pivotField dataField="1" showAll="0"/>
    <pivotField showAll="0"/>
    <pivotField showAll="0"/>
    <pivotField showAll="0"/>
    <pivotField showAll="0"/>
    <pivotField showAll="0"/>
  </pivotFields>
  <rowFields count="1">
    <field x="0"/>
  </rowFields>
  <rowItems count="301">
    <i>
      <x v="33"/>
    </i>
    <i>
      <x v="84"/>
    </i>
    <i>
      <x v="256"/>
    </i>
    <i>
      <x v="44"/>
    </i>
    <i>
      <x v="275"/>
    </i>
    <i>
      <x v="294"/>
    </i>
    <i>
      <x v="238"/>
    </i>
    <i>
      <x v="267"/>
    </i>
    <i>
      <x v="122"/>
    </i>
    <i>
      <x v="74"/>
    </i>
    <i>
      <x v="272"/>
    </i>
    <i>
      <x v="211"/>
    </i>
    <i>
      <x v="68"/>
    </i>
    <i>
      <x v="298"/>
    </i>
    <i>
      <x v="170"/>
    </i>
    <i>
      <x v="53"/>
    </i>
    <i>
      <x v="187"/>
    </i>
    <i>
      <x v="117"/>
    </i>
    <i>
      <x v="86"/>
    </i>
    <i>
      <x v="276"/>
    </i>
    <i>
      <x v="52"/>
    </i>
    <i>
      <x v="138"/>
    </i>
    <i>
      <x v="28"/>
    </i>
    <i>
      <x v="102"/>
    </i>
    <i>
      <x v="278"/>
    </i>
    <i>
      <x v="239"/>
    </i>
    <i>
      <x v="273"/>
    </i>
    <i>
      <x v="271"/>
    </i>
    <i>
      <x v="145"/>
    </i>
    <i>
      <x v="3"/>
    </i>
    <i>
      <x v="79"/>
    </i>
    <i>
      <x v="38"/>
    </i>
    <i>
      <x v="139"/>
    </i>
    <i>
      <x v="137"/>
    </i>
    <i>
      <x v="35"/>
    </i>
    <i>
      <x v="244"/>
    </i>
    <i>
      <x v="197"/>
    </i>
    <i>
      <x v="169"/>
    </i>
    <i>
      <x v="46"/>
    </i>
    <i>
      <x v="69"/>
    </i>
    <i>
      <x v="63"/>
    </i>
    <i>
      <x v="257"/>
    </i>
    <i>
      <x v="133"/>
    </i>
    <i>
      <x v="124"/>
    </i>
    <i>
      <x v="213"/>
    </i>
    <i>
      <x v="200"/>
    </i>
    <i>
      <x v="134"/>
    </i>
    <i>
      <x v="30"/>
    </i>
    <i>
      <x v="299"/>
    </i>
    <i>
      <x v="25"/>
    </i>
    <i>
      <x v="151"/>
    </i>
    <i>
      <x v="142"/>
    </i>
    <i>
      <x v="269"/>
    </i>
    <i>
      <x v="9"/>
    </i>
    <i>
      <x v="15"/>
    </i>
    <i>
      <x v="259"/>
    </i>
    <i>
      <x v="191"/>
    </i>
    <i>
      <x v="173"/>
    </i>
    <i>
      <x v="93"/>
    </i>
    <i>
      <x v="184"/>
    </i>
    <i>
      <x v="195"/>
    </i>
    <i>
      <x v="222"/>
    </i>
    <i>
      <x v="36"/>
    </i>
    <i>
      <x v="260"/>
    </i>
    <i>
      <x v="130"/>
    </i>
    <i>
      <x v="167"/>
    </i>
    <i>
      <x v="100"/>
    </i>
    <i>
      <x v="49"/>
    </i>
    <i>
      <x v="64"/>
    </i>
    <i>
      <x v="85"/>
    </i>
    <i>
      <x v="193"/>
    </i>
    <i>
      <x v="56"/>
    </i>
    <i>
      <x v="253"/>
    </i>
    <i>
      <x v="194"/>
    </i>
    <i>
      <x v="154"/>
    </i>
    <i>
      <x v="180"/>
    </i>
    <i>
      <x v="277"/>
    </i>
    <i>
      <x v="112"/>
    </i>
    <i>
      <x v="21"/>
    </i>
    <i>
      <x v="290"/>
    </i>
    <i>
      <x v="291"/>
    </i>
    <i>
      <x v="235"/>
    </i>
    <i>
      <x v="80"/>
    </i>
    <i>
      <x v="125"/>
    </i>
    <i>
      <x v="155"/>
    </i>
    <i>
      <x v="231"/>
    </i>
    <i>
      <x v="41"/>
    </i>
    <i>
      <x v="27"/>
    </i>
    <i>
      <x v="13"/>
    </i>
    <i>
      <x v="123"/>
    </i>
    <i>
      <x v="240"/>
    </i>
    <i>
      <x v="103"/>
    </i>
    <i>
      <x v="166"/>
    </i>
    <i>
      <x v="59"/>
    </i>
    <i>
      <x v="129"/>
    </i>
    <i>
      <x v="164"/>
    </i>
    <i>
      <x v="225"/>
    </i>
    <i>
      <x v="189"/>
    </i>
    <i>
      <x v="246"/>
    </i>
    <i>
      <x v="289"/>
    </i>
    <i>
      <x v="226"/>
    </i>
    <i>
      <x v="221"/>
    </i>
    <i>
      <x v="261"/>
    </i>
    <i>
      <x v="188"/>
    </i>
    <i>
      <x v="127"/>
    </i>
    <i>
      <x v="245"/>
    </i>
    <i>
      <x v="40"/>
    </i>
    <i>
      <x v="92"/>
    </i>
    <i>
      <x v="17"/>
    </i>
    <i>
      <x v="39"/>
    </i>
    <i>
      <x v="281"/>
    </i>
    <i>
      <x v="287"/>
    </i>
    <i>
      <x v="158"/>
    </i>
    <i>
      <x v="219"/>
    </i>
    <i>
      <x v="119"/>
    </i>
    <i>
      <x v="251"/>
    </i>
    <i>
      <x v="1"/>
    </i>
    <i>
      <x v="297"/>
    </i>
    <i>
      <x v="97"/>
    </i>
    <i>
      <x v="22"/>
    </i>
    <i>
      <x v="89"/>
    </i>
    <i>
      <x v="237"/>
    </i>
    <i>
      <x v="206"/>
    </i>
    <i>
      <x v="210"/>
    </i>
    <i>
      <x v="163"/>
    </i>
    <i>
      <x v="247"/>
    </i>
    <i>
      <x v="274"/>
    </i>
    <i>
      <x v="131"/>
    </i>
    <i>
      <x v="186"/>
    </i>
    <i>
      <x v="228"/>
    </i>
    <i>
      <x v="192"/>
    </i>
    <i>
      <x v="295"/>
    </i>
    <i>
      <x v="34"/>
    </i>
    <i>
      <x v="255"/>
    </i>
    <i>
      <x v="110"/>
    </i>
    <i>
      <x v="161"/>
    </i>
    <i>
      <x v="177"/>
    </i>
    <i>
      <x v="4"/>
    </i>
    <i>
      <x v="45"/>
    </i>
    <i>
      <x v="60"/>
    </i>
    <i>
      <x v="67"/>
    </i>
    <i>
      <x v="75"/>
    </i>
    <i>
      <x v="175"/>
    </i>
    <i>
      <x v="128"/>
    </i>
    <i>
      <x v="136"/>
    </i>
    <i>
      <x v="140"/>
    </i>
    <i>
      <x v="179"/>
    </i>
    <i>
      <x v="87"/>
    </i>
    <i>
      <x v="171"/>
    </i>
    <i>
      <x v="78"/>
    </i>
    <i>
      <x v="19"/>
    </i>
    <i>
      <x v="264"/>
    </i>
    <i>
      <x v="172"/>
    </i>
    <i>
      <x v="14"/>
    </i>
    <i>
      <x v="23"/>
    </i>
    <i>
      <x v="241"/>
    </i>
    <i>
      <x v="132"/>
    </i>
    <i>
      <x v="243"/>
    </i>
    <i>
      <x v="108"/>
    </i>
    <i>
      <x v="282"/>
    </i>
    <i>
      <x v="66"/>
    </i>
    <i>
      <x v="26"/>
    </i>
    <i>
      <x v="198"/>
    </i>
    <i>
      <x v="88"/>
    </i>
    <i>
      <x v="62"/>
    </i>
    <i>
      <x v="106"/>
    </i>
    <i>
      <x v="143"/>
    </i>
    <i>
      <x v="121"/>
    </i>
    <i>
      <x v="208"/>
    </i>
    <i>
      <x v="156"/>
    </i>
    <i>
      <x v="265"/>
    </i>
    <i>
      <x v="83"/>
    </i>
    <i>
      <x v="250"/>
    </i>
    <i>
      <x v="50"/>
    </i>
    <i>
      <x v="153"/>
    </i>
    <i>
      <x v="10"/>
    </i>
    <i>
      <x v="266"/>
    </i>
    <i>
      <x v="37"/>
    </i>
    <i>
      <x v="279"/>
    </i>
    <i>
      <x v="229"/>
    </i>
    <i>
      <x v="82"/>
    </i>
    <i>
      <x v="284"/>
    </i>
    <i>
      <x v="150"/>
    </i>
    <i>
      <x v="149"/>
    </i>
    <i>
      <x v="147"/>
    </i>
    <i>
      <x v="176"/>
    </i>
    <i>
      <x v="168"/>
    </i>
    <i>
      <x v="51"/>
    </i>
    <i>
      <x v="5"/>
    </i>
    <i>
      <x v="224"/>
    </i>
    <i>
      <x v="116"/>
    </i>
    <i>
      <x v="96"/>
    </i>
    <i>
      <x v="16"/>
    </i>
    <i>
      <x v="54"/>
    </i>
    <i>
      <x v="201"/>
    </i>
    <i>
      <x v="185"/>
    </i>
    <i>
      <x v="285"/>
    </i>
    <i>
      <x v="223"/>
    </i>
    <i>
      <x v="20"/>
    </i>
    <i>
      <x v="292"/>
    </i>
    <i>
      <x v="73"/>
    </i>
    <i>
      <x v="157"/>
    </i>
    <i>
      <x v="215"/>
    </i>
    <i>
      <x v="12"/>
    </i>
    <i>
      <x v="94"/>
    </i>
    <i>
      <x v="101"/>
    </i>
    <i>
      <x v="8"/>
    </i>
    <i>
      <x v="2"/>
    </i>
    <i>
      <x v="57"/>
    </i>
    <i>
      <x v="205"/>
    </i>
    <i>
      <x v="196"/>
    </i>
    <i>
      <x v="126"/>
    </i>
    <i>
      <x v="249"/>
    </i>
    <i>
      <x v="47"/>
    </i>
    <i>
      <x v="91"/>
    </i>
    <i>
      <x v="162"/>
    </i>
    <i>
      <x v="181"/>
    </i>
    <i>
      <x v="286"/>
    </i>
    <i>
      <x v="160"/>
    </i>
    <i>
      <x v="104"/>
    </i>
    <i>
      <x v="6"/>
    </i>
    <i>
      <x v="81"/>
    </i>
    <i>
      <x v="29"/>
    </i>
    <i>
      <x v="280"/>
    </i>
    <i>
      <x v="252"/>
    </i>
    <i>
      <x v="90"/>
    </i>
    <i>
      <x v="268"/>
    </i>
    <i>
      <x v="77"/>
    </i>
    <i>
      <x v="204"/>
    </i>
    <i>
      <x v="182"/>
    </i>
    <i>
      <x v="24"/>
    </i>
    <i>
      <x v="207"/>
    </i>
    <i>
      <x v="7"/>
    </i>
    <i>
      <x v="248"/>
    </i>
    <i>
      <x v="293"/>
    </i>
    <i>
      <x v="146"/>
    </i>
    <i>
      <x v="135"/>
    </i>
    <i>
      <x v="233"/>
    </i>
    <i>
      <x v="48"/>
    </i>
    <i>
      <x v="118"/>
    </i>
    <i>
      <x v="283"/>
    </i>
    <i>
      <x v="141"/>
    </i>
    <i>
      <x v="32"/>
    </i>
    <i>
      <x v="76"/>
    </i>
    <i>
      <x v="61"/>
    </i>
    <i>
      <x v="31"/>
    </i>
    <i>
      <x v="263"/>
    </i>
    <i>
      <x v="296"/>
    </i>
    <i>
      <x v="217"/>
    </i>
    <i>
      <x v="18"/>
    </i>
    <i>
      <x v="165"/>
    </i>
    <i>
      <x v="212"/>
    </i>
    <i>
      <x v="218"/>
    </i>
    <i>
      <x v="111"/>
    </i>
    <i>
      <x v="95"/>
    </i>
    <i>
      <x v="288"/>
    </i>
    <i>
      <x v="159"/>
    </i>
    <i>
      <x v="214"/>
    </i>
    <i>
      <x v="254"/>
    </i>
    <i>
      <x v="58"/>
    </i>
    <i>
      <x v="72"/>
    </i>
    <i>
      <x v="99"/>
    </i>
    <i>
      <x v="262"/>
    </i>
    <i>
      <x v="258"/>
    </i>
    <i>
      <x v="234"/>
    </i>
    <i>
      <x v="152"/>
    </i>
    <i>
      <x v="216"/>
    </i>
    <i>
      <x v="199"/>
    </i>
    <i>
      <x/>
    </i>
    <i>
      <x v="65"/>
    </i>
    <i>
      <x v="202"/>
    </i>
    <i>
      <x v="114"/>
    </i>
    <i>
      <x v="109"/>
    </i>
    <i>
      <x v="120"/>
    </i>
    <i>
      <x v="107"/>
    </i>
    <i>
      <x v="203"/>
    </i>
    <i>
      <x v="227"/>
    </i>
    <i>
      <x v="209"/>
    </i>
    <i>
      <x v="270"/>
    </i>
    <i>
      <x v="183"/>
    </i>
    <i>
      <x v="43"/>
    </i>
    <i>
      <x v="178"/>
    </i>
    <i>
      <x v="115"/>
    </i>
    <i>
      <x v="144"/>
    </i>
    <i>
      <x v="98"/>
    </i>
    <i>
      <x v="148"/>
    </i>
    <i>
      <x v="220"/>
    </i>
    <i>
      <x v="55"/>
    </i>
    <i>
      <x v="70"/>
    </i>
    <i>
      <x v="230"/>
    </i>
    <i>
      <x v="71"/>
    </i>
    <i>
      <x v="236"/>
    </i>
    <i>
      <x v="11"/>
    </i>
    <i>
      <x v="113"/>
    </i>
    <i>
      <x v="190"/>
    </i>
    <i>
      <x v="105"/>
    </i>
    <i>
      <x v="42"/>
    </i>
    <i>
      <x v="242"/>
    </i>
    <i>
      <x v="232"/>
    </i>
    <i>
      <x v="174"/>
    </i>
    <i t="grand">
      <x/>
    </i>
  </rowItems>
  <colItems count="1">
    <i/>
  </colItems>
  <dataFields count="1">
    <dataField name="Sum of Market C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E0690C-89CB-4376-B721-C1A1F535C7A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C48" firstHeaderRow="0" firstDataRow="1" firstDataCol="1"/>
  <pivotFields count="10">
    <pivotField axis="axisRow" showAll="0" measureFilter="1">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pivotField>
    <pivotField showAll="0"/>
    <pivotField dataField="1"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showAll="0"/>
    <pivotField showAll="0"/>
    <pivotField showAll="0"/>
    <pivotField showAll="0"/>
    <pivotField dataField="1" showAll="0"/>
    <pivotField showAll="0"/>
    <pivotField showAll="0"/>
  </pivotFields>
  <rowFields count="1">
    <field x="0"/>
  </rowFields>
  <rowItems count="11">
    <i>
      <x v="2"/>
    </i>
    <i>
      <x v="11"/>
    </i>
    <i>
      <x v="24"/>
    </i>
    <i>
      <x v="33"/>
    </i>
    <i>
      <x v="43"/>
    </i>
    <i>
      <x v="50"/>
    </i>
    <i>
      <x v="149"/>
    </i>
    <i>
      <x v="159"/>
    </i>
    <i>
      <x v="231"/>
    </i>
    <i>
      <x v="255"/>
    </i>
    <i t="grand">
      <x/>
    </i>
  </rowItems>
  <colFields count="1">
    <field x="-2"/>
  </colFields>
  <colItems count="2">
    <i>
      <x/>
    </i>
    <i i="1">
      <x v="1"/>
    </i>
  </colItems>
  <dataFields count="2">
    <dataField name="Sum of Doller Volume per Supply" fld="7" baseField="0" baseItem="0"/>
    <dataField name="Sum of Price (USD)" fld="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5FCCA1-161F-4E31-9F0E-D4D65CD75FA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in Name">
  <location ref="A20:B31" firstHeaderRow="1" firstDataRow="1" firstDataCol="1"/>
  <pivotFields count="10">
    <pivotField axis="axisRow" showAll="0" measureFilter="1">
      <items count="301">
        <item x="269"/>
        <item x="117"/>
        <item x="207"/>
        <item x="16"/>
        <item x="138"/>
        <item x="188"/>
        <item x="220"/>
        <item x="231"/>
        <item x="203"/>
        <item x="53"/>
        <item x="175"/>
        <item x="292"/>
        <item x="195"/>
        <item x="89"/>
        <item x="153"/>
        <item x="55"/>
        <item x="192"/>
        <item x="109"/>
        <item x="247"/>
        <item x="151"/>
        <item x="198"/>
        <item x="75"/>
        <item x="120"/>
        <item x="155"/>
        <item x="228"/>
        <item x="50"/>
        <item x="162"/>
        <item x="88"/>
        <item x="38"/>
        <item x="224"/>
        <item x="48"/>
        <item x="245"/>
        <item x="242"/>
        <item x="1"/>
        <item x="132"/>
        <item x="20"/>
        <item x="63"/>
        <item x="177"/>
        <item x="17"/>
        <item x="110"/>
        <item x="107"/>
        <item x="87"/>
        <item x="296"/>
        <item x="280"/>
        <item x="4"/>
        <item x="139"/>
        <item x="24"/>
        <item x="213"/>
        <item x="239"/>
        <item x="68"/>
        <item x="174"/>
        <item x="187"/>
        <item x="36"/>
        <item x="14"/>
        <item x="193"/>
        <item x="286"/>
        <item x="72"/>
        <item x="204"/>
        <item x="259"/>
        <item x="94"/>
        <item x="140"/>
        <item x="243"/>
        <item x="0"/>
        <item x="26"/>
        <item x="69"/>
        <item x="268"/>
        <item x="161"/>
        <item x="141"/>
        <item x="31"/>
        <item x="25"/>
        <item x="287"/>
        <item x="290"/>
        <item x="260"/>
        <item x="202"/>
        <item x="10"/>
        <item x="143"/>
        <item x="244"/>
        <item x="225"/>
        <item x="150"/>
        <item x="44"/>
        <item x="83"/>
        <item x="222"/>
        <item x="180"/>
        <item x="172"/>
        <item x="2"/>
        <item x="70"/>
        <item x="34"/>
        <item x="149"/>
        <item x="164"/>
        <item x="121"/>
        <item x="226"/>
        <item x="214"/>
        <item x="108"/>
        <item x="59"/>
        <item x="205"/>
        <item x="254"/>
        <item x="191"/>
        <item x="119"/>
        <item x="284"/>
        <item x="265"/>
        <item x="67"/>
        <item x="206"/>
        <item x="39"/>
        <item x="92"/>
        <item x="219"/>
        <item x="295"/>
        <item x="165"/>
        <item x="274"/>
        <item x="159"/>
        <item x="275"/>
        <item x="135"/>
        <item x="251"/>
        <item x="79"/>
        <item x="293"/>
        <item x="270"/>
        <item x="281"/>
        <item x="190"/>
        <item x="33"/>
        <item x="238"/>
        <item x="115"/>
        <item x="276"/>
        <item x="167"/>
        <item x="9"/>
        <item x="90"/>
        <item x="29"/>
        <item x="84"/>
        <item x="212"/>
        <item x="105"/>
        <item x="144"/>
        <item x="95"/>
        <item x="65"/>
        <item x="128"/>
        <item x="157"/>
        <item x="28"/>
        <item x="47"/>
        <item x="237"/>
        <item x="147"/>
        <item x="19"/>
        <item x="37"/>
        <item x="18"/>
        <item x="145"/>
        <item x="241"/>
        <item x="52"/>
        <item x="166"/>
        <item x="279"/>
        <item x="15"/>
        <item x="235"/>
        <item x="184"/>
        <item x="285"/>
        <item x="183"/>
        <item x="182"/>
        <item x="51"/>
        <item x="262"/>
        <item x="173"/>
        <item x="77"/>
        <item x="85"/>
        <item x="170"/>
        <item x="201"/>
        <item x="113"/>
        <item x="258"/>
        <item x="218"/>
        <item x="136"/>
        <item x="215"/>
        <item x="125"/>
        <item x="96"/>
        <item x="250"/>
        <item x="93"/>
        <item x="66"/>
        <item x="186"/>
        <item x="23"/>
        <item x="13"/>
        <item x="148"/>
        <item x="154"/>
        <item x="57"/>
        <item x="299"/>
        <item x="142"/>
        <item x="185"/>
        <item x="137"/>
        <item x="282"/>
        <item x="146"/>
        <item x="76"/>
        <item x="216"/>
        <item x="230"/>
        <item x="283"/>
        <item x="60"/>
        <item x="208"/>
        <item x="129"/>
        <item x="32"/>
        <item x="104"/>
        <item x="99"/>
        <item x="294"/>
        <item x="56"/>
        <item x="131"/>
        <item x="71"/>
        <item x="74"/>
        <item x="61"/>
        <item x="210"/>
        <item x="22"/>
        <item x="163"/>
        <item x="263"/>
        <item x="46"/>
        <item x="194"/>
        <item x="271"/>
        <item x="272"/>
        <item x="229"/>
        <item x="209"/>
        <item x="123"/>
        <item x="232"/>
        <item x="168"/>
        <item x="278"/>
        <item x="124"/>
        <item x="30"/>
        <item x="253"/>
        <item x="45"/>
        <item x="256"/>
        <item x="199"/>
        <item x="266"/>
        <item x="249"/>
        <item x="252"/>
        <item x="114"/>
        <item x="288"/>
        <item x="102"/>
        <item x="62"/>
        <item x="197"/>
        <item x="189"/>
        <item x="97"/>
        <item x="101"/>
        <item x="273"/>
        <item x="130"/>
        <item x="179"/>
        <item x="289"/>
        <item x="86"/>
        <item x="298"/>
        <item x="236"/>
        <item x="267"/>
        <item x="82"/>
        <item x="291"/>
        <item x="122"/>
        <item x="7"/>
        <item x="41"/>
        <item x="91"/>
        <item x="156"/>
        <item x="297"/>
        <item x="158"/>
        <item x="21"/>
        <item x="106"/>
        <item x="98"/>
        <item x="126"/>
        <item x="233"/>
        <item x="211"/>
        <item x="171"/>
        <item x="116"/>
        <item x="223"/>
        <item x="73"/>
        <item x="257"/>
        <item x="134"/>
        <item x="3"/>
        <item x="27"/>
        <item x="264"/>
        <item x="58"/>
        <item x="64"/>
        <item x="103"/>
        <item x="261"/>
        <item x="246"/>
        <item x="152"/>
        <item x="169"/>
        <item x="176"/>
        <item x="8"/>
        <item x="227"/>
        <item x="54"/>
        <item x="277"/>
        <item x="43"/>
        <item x="11"/>
        <item x="42"/>
        <item x="127"/>
        <item x="5"/>
        <item x="35"/>
        <item x="78"/>
        <item x="40"/>
        <item x="178"/>
        <item x="221"/>
        <item x="111"/>
        <item x="160"/>
        <item x="240"/>
        <item x="181"/>
        <item x="196"/>
        <item x="217"/>
        <item x="112"/>
        <item x="255"/>
        <item x="100"/>
        <item x="80"/>
        <item x="81"/>
        <item x="200"/>
        <item x="234"/>
        <item x="6"/>
        <item x="133"/>
        <item x="248"/>
        <item x="118"/>
        <item x="12"/>
        <item x="49"/>
        <item t="default"/>
      </items>
    </pivotField>
    <pivotField showAll="0"/>
    <pivotField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dataField="1" showAll="0"/>
    <pivotField showAll="0"/>
    <pivotField showAll="0"/>
    <pivotField showAll="0"/>
    <pivotField showAll="0"/>
    <pivotField showAll="0"/>
    <pivotField showAll="0"/>
  </pivotFields>
  <rowFields count="1">
    <field x="0"/>
  </rowFields>
  <rowItems count="11">
    <i>
      <x v="12"/>
    </i>
    <i>
      <x v="21"/>
    </i>
    <i>
      <x v="95"/>
    </i>
    <i>
      <x v="107"/>
    </i>
    <i>
      <x v="152"/>
    </i>
    <i>
      <x v="174"/>
    </i>
    <i>
      <x v="185"/>
    </i>
    <i>
      <x v="192"/>
    </i>
    <i>
      <x v="219"/>
    </i>
    <i>
      <x v="270"/>
    </i>
    <i t="grand">
      <x/>
    </i>
  </rowItems>
  <colItems count="1">
    <i/>
  </colItems>
  <dataFields count="1">
    <dataField name="Sum of 1h Change (%)" fld="3"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773021-7030-4A6B-89AA-2D87C3B0155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in Name">
  <location ref="U39:V59" firstHeaderRow="1" firstDataRow="1" firstDataCol="1"/>
  <pivotFields count="10">
    <pivotField axis="axisRow" showAll="0" measureFilter="1" sortType="descending">
      <items count="301">
        <item x="49"/>
        <item x="12"/>
        <item x="118"/>
        <item x="248"/>
        <item x="133"/>
        <item x="6"/>
        <item x="234"/>
        <item x="200"/>
        <item x="81"/>
        <item x="80"/>
        <item x="100"/>
        <item x="255"/>
        <item x="112"/>
        <item x="217"/>
        <item x="196"/>
        <item x="181"/>
        <item x="240"/>
        <item x="160"/>
        <item x="111"/>
        <item x="221"/>
        <item x="178"/>
        <item x="40"/>
        <item x="78"/>
        <item x="35"/>
        <item x="5"/>
        <item x="127"/>
        <item x="42"/>
        <item x="11"/>
        <item x="43"/>
        <item sd="0" x="277"/>
        <item x="54"/>
        <item x="227"/>
        <item x="8"/>
        <item x="176"/>
        <item x="169"/>
        <item x="152"/>
        <item x="246"/>
        <item x="261"/>
        <item x="103"/>
        <item x="64"/>
        <item x="58"/>
        <item x="264"/>
        <item x="27"/>
        <item x="3"/>
        <item x="134"/>
        <item x="257"/>
        <item x="73"/>
        <item x="223"/>
        <item x="116"/>
        <item x="171"/>
        <item x="211"/>
        <item x="233"/>
        <item x="126"/>
        <item x="98"/>
        <item x="106"/>
        <item x="21"/>
        <item x="158"/>
        <item x="297"/>
        <item x="156"/>
        <item x="91"/>
        <item x="41"/>
        <item x="7"/>
        <item x="122"/>
        <item x="291"/>
        <item x="82"/>
        <item x="267"/>
        <item x="236"/>
        <item x="298"/>
        <item x="86"/>
        <item x="289"/>
        <item x="179"/>
        <item x="130"/>
        <item x="273"/>
        <item x="101"/>
        <item x="97"/>
        <item x="189"/>
        <item x="197"/>
        <item x="62"/>
        <item x="102"/>
        <item x="288"/>
        <item x="114"/>
        <item x="252"/>
        <item x="249"/>
        <item x="266"/>
        <item x="199"/>
        <item x="256"/>
        <item x="45"/>
        <item x="253"/>
        <item x="30"/>
        <item x="124"/>
        <item x="278"/>
        <item x="168"/>
        <item x="232"/>
        <item x="123"/>
        <item x="209"/>
        <item x="229"/>
        <item x="272"/>
        <item x="271"/>
        <item x="194"/>
        <item x="46"/>
        <item x="263"/>
        <item x="163"/>
        <item x="22"/>
        <item x="210"/>
        <item x="61"/>
        <item x="74"/>
        <item x="71"/>
        <item x="131"/>
        <item x="56"/>
        <item x="294"/>
        <item x="99"/>
        <item x="104"/>
        <item x="32"/>
        <item x="129"/>
        <item x="208"/>
        <item x="60"/>
        <item x="283"/>
        <item x="230"/>
        <item x="216"/>
        <item x="76"/>
        <item x="146"/>
        <item x="282"/>
        <item x="137"/>
        <item x="185"/>
        <item x="142"/>
        <item x="299"/>
        <item x="57"/>
        <item x="154"/>
        <item x="148"/>
        <item x="13"/>
        <item x="23"/>
        <item x="186"/>
        <item x="66"/>
        <item x="93"/>
        <item x="250"/>
        <item x="96"/>
        <item x="125"/>
        <item x="215"/>
        <item x="136"/>
        <item x="218"/>
        <item x="258"/>
        <item x="113"/>
        <item x="201"/>
        <item x="170"/>
        <item x="85"/>
        <item x="77"/>
        <item x="173"/>
        <item x="262"/>
        <item x="51"/>
        <item x="182"/>
        <item x="183"/>
        <item x="285"/>
        <item x="184"/>
        <item x="235"/>
        <item x="15"/>
        <item x="279"/>
        <item x="166"/>
        <item x="52"/>
        <item x="241"/>
        <item x="145"/>
        <item x="18"/>
        <item x="37"/>
        <item x="19"/>
        <item x="147"/>
        <item x="237"/>
        <item x="47"/>
        <item x="28"/>
        <item x="157"/>
        <item x="128"/>
        <item x="65"/>
        <item x="95"/>
        <item x="144"/>
        <item x="105"/>
        <item x="212"/>
        <item x="84"/>
        <item x="29"/>
        <item x="90"/>
        <item x="9"/>
        <item x="167"/>
        <item x="276"/>
        <item x="115"/>
        <item x="238"/>
        <item x="33"/>
        <item x="190"/>
        <item x="281"/>
        <item x="270"/>
        <item x="293"/>
        <item x="79"/>
        <item x="251"/>
        <item x="135"/>
        <item x="275"/>
        <item x="159"/>
        <item x="274"/>
        <item x="165"/>
        <item x="295"/>
        <item x="219"/>
        <item x="92"/>
        <item x="39"/>
        <item x="206"/>
        <item x="67"/>
        <item x="265"/>
        <item x="284"/>
        <item x="119"/>
        <item x="191"/>
        <item x="254"/>
        <item x="205"/>
        <item x="59"/>
        <item x="108"/>
        <item x="214"/>
        <item x="226"/>
        <item x="121"/>
        <item x="164"/>
        <item x="149"/>
        <item x="34"/>
        <item x="70"/>
        <item x="2"/>
        <item x="172"/>
        <item x="180"/>
        <item x="222"/>
        <item x="83"/>
        <item x="44"/>
        <item x="150"/>
        <item x="225"/>
        <item x="244"/>
        <item x="143"/>
        <item x="10"/>
        <item x="202"/>
        <item x="260"/>
        <item x="290"/>
        <item x="287"/>
        <item x="25"/>
        <item x="31"/>
        <item x="141"/>
        <item x="161"/>
        <item x="268"/>
        <item x="69"/>
        <item x="26"/>
        <item x="0"/>
        <item x="243"/>
        <item x="140"/>
        <item x="94"/>
        <item x="259"/>
        <item x="204"/>
        <item x="72"/>
        <item x="286"/>
        <item x="193"/>
        <item x="14"/>
        <item x="36"/>
        <item x="187"/>
        <item x="174"/>
        <item x="68"/>
        <item x="239"/>
        <item x="213"/>
        <item x="24"/>
        <item x="139"/>
        <item x="4"/>
        <item x="280"/>
        <item x="296"/>
        <item x="87"/>
        <item x="107"/>
        <item x="110"/>
        <item x="17"/>
        <item x="177"/>
        <item x="63"/>
        <item x="20"/>
        <item x="132"/>
        <item x="1"/>
        <item x="242"/>
        <item x="245"/>
        <item x="48"/>
        <item x="224"/>
        <item x="38"/>
        <item x="88"/>
        <item x="162"/>
        <item x="50"/>
        <item x="228"/>
        <item x="155"/>
        <item x="120"/>
        <item x="75"/>
        <item x="198"/>
        <item x="151"/>
        <item x="247"/>
        <item x="109"/>
        <item x="192"/>
        <item x="55"/>
        <item x="153"/>
        <item x="89"/>
        <item x="195"/>
        <item x="292"/>
        <item x="175"/>
        <item x="53"/>
        <item x="203"/>
        <item x="231"/>
        <item x="220"/>
        <item x="188"/>
        <item x="138"/>
        <item x="16"/>
        <item x="207"/>
        <item x="117"/>
        <item x="269"/>
        <item t="default"/>
      </items>
    </pivotField>
    <pivotField axis="axisRow" showAll="0">
      <items count="300">
        <item x="23"/>
        <item x="55"/>
        <item x="273"/>
        <item x="209"/>
        <item x="257"/>
        <item x="192"/>
        <item x="153"/>
        <item x="138"/>
        <item x="14"/>
        <item x="268"/>
        <item x="117"/>
        <item x="188"/>
        <item x="53"/>
        <item x="207"/>
        <item x="291"/>
        <item x="109"/>
        <item x="247"/>
        <item x="151"/>
        <item x="75"/>
        <item x="198"/>
        <item x="175"/>
        <item x="120"/>
        <item x="155"/>
        <item x="174"/>
        <item x="228"/>
        <item x="220"/>
        <item x="231"/>
        <item x="203"/>
        <item x="50"/>
        <item x="162"/>
        <item x="164"/>
        <item x="201"/>
        <item x="132"/>
        <item x="187"/>
        <item x="63"/>
        <item x="38"/>
        <item x="279"/>
        <item x="224"/>
        <item x="48"/>
        <item x="245"/>
        <item x="242"/>
        <item x="110"/>
        <item x="107"/>
        <item x="4"/>
        <item x="88"/>
        <item x="139"/>
        <item x="24"/>
        <item x="213"/>
        <item x="239"/>
        <item x="68"/>
        <item x="87"/>
        <item x="295"/>
        <item x="20"/>
        <item x="1"/>
        <item x="17"/>
        <item x="249"/>
        <item x="193"/>
        <item x="72"/>
        <item x="204"/>
        <item x="26"/>
        <item x="118"/>
        <item x="0"/>
        <item x="140"/>
        <item x="267"/>
        <item x="69"/>
        <item x="36"/>
        <item x="286"/>
        <item x="25"/>
        <item x="31"/>
        <item x="141"/>
        <item x="259"/>
        <item x="202"/>
        <item x="225"/>
        <item x="289"/>
        <item x="10"/>
        <item x="143"/>
        <item x="244"/>
        <item x="197"/>
        <item x="150"/>
        <item x="44"/>
        <item x="83"/>
        <item x="161"/>
        <item x="234"/>
        <item x="180"/>
        <item x="157"/>
        <item x="172"/>
        <item x="222"/>
        <item x="2"/>
        <item x="70"/>
        <item x="158"/>
        <item x="149"/>
        <item x="121"/>
        <item x="214"/>
        <item x="195"/>
        <item x="226"/>
        <item x="108"/>
        <item x="59"/>
        <item x="283"/>
        <item x="205"/>
        <item x="191"/>
        <item x="119"/>
        <item x="206"/>
        <item x="39"/>
        <item x="264"/>
        <item x="148"/>
        <item x="92"/>
        <item x="219"/>
        <item x="165"/>
        <item x="67"/>
        <item x="254"/>
        <item x="159"/>
        <item x="274"/>
        <item x="238"/>
        <item x="135"/>
        <item x="275"/>
        <item x="251"/>
        <item x="79"/>
        <item x="292"/>
        <item x="269"/>
        <item x="280"/>
        <item x="190"/>
        <item x="33"/>
        <item x="9"/>
        <item x="128"/>
        <item x="84"/>
        <item x="90"/>
        <item x="212"/>
        <item x="29"/>
        <item x="105"/>
        <item x="95"/>
        <item x="65"/>
        <item x="28"/>
        <item x="47"/>
        <item x="237"/>
        <item x="147"/>
        <item x="37"/>
        <item x="19"/>
        <item x="18"/>
        <item x="145"/>
        <item x="241"/>
        <item x="52"/>
        <item x="166"/>
        <item x="194"/>
        <item x="11"/>
        <item x="235"/>
        <item x="177"/>
        <item x="184"/>
        <item x="284"/>
        <item x="183"/>
        <item x="278"/>
        <item x="261"/>
        <item x="51"/>
        <item x="173"/>
        <item x="85"/>
        <item x="258"/>
        <item x="170"/>
        <item x="218"/>
        <item x="136"/>
        <item x="125"/>
        <item x="250"/>
        <item x="182"/>
        <item x="77"/>
        <item x="66"/>
        <item x="186"/>
        <item x="113"/>
        <item x="126"/>
        <item x="96"/>
        <item x="294"/>
        <item x="142"/>
        <item x="298"/>
        <item x="16"/>
        <item x="76"/>
        <item x="146"/>
        <item x="282"/>
        <item x="230"/>
        <item x="60"/>
        <item x="137"/>
        <item x="208"/>
        <item x="129"/>
        <item x="293"/>
        <item x="71"/>
        <item x="104"/>
        <item x="56"/>
        <item x="131"/>
        <item x="74"/>
        <item x="210"/>
        <item x="22"/>
        <item x="281"/>
        <item x="163"/>
        <item x="262"/>
        <item x="252"/>
        <item x="61"/>
        <item x="270"/>
        <item x="271"/>
        <item x="99"/>
        <item x="46"/>
        <item x="216"/>
        <item x="123"/>
        <item x="232"/>
        <item x="168"/>
        <item x="124"/>
        <item x="30"/>
        <item x="253"/>
        <item x="243"/>
        <item x="256"/>
        <item x="199"/>
        <item x="265"/>
        <item x="167"/>
        <item x="114"/>
        <item x="287"/>
        <item x="215"/>
        <item x="93"/>
        <item x="102"/>
        <item x="62"/>
        <item x="97"/>
        <item x="189"/>
        <item x="227"/>
        <item x="45"/>
        <item x="277"/>
        <item x="101"/>
        <item x="272"/>
        <item x="130"/>
        <item x="179"/>
        <item x="296"/>
        <item x="82"/>
        <item x="288"/>
        <item x="236"/>
        <item x="154"/>
        <item x="266"/>
        <item x="297"/>
        <item x="285"/>
        <item x="169"/>
        <item x="122"/>
        <item x="7"/>
        <item x="91"/>
        <item x="86"/>
        <item x="156"/>
        <item x="260"/>
        <item x="106"/>
        <item x="98"/>
        <item x="233"/>
        <item x="21"/>
        <item x="211"/>
        <item x="171"/>
        <item x="64"/>
        <item x="116"/>
        <item x="223"/>
        <item x="58"/>
        <item x="103"/>
        <item x="229"/>
        <item x="152"/>
        <item x="73"/>
        <item x="176"/>
        <item x="144"/>
        <item x="8"/>
        <item x="134"/>
        <item x="246"/>
        <item x="54"/>
        <item x="43"/>
        <item x="276"/>
        <item x="40"/>
        <item x="42"/>
        <item x="127"/>
        <item x="5"/>
        <item x="34"/>
        <item x="35"/>
        <item x="78"/>
        <item x="3"/>
        <item x="32"/>
        <item x="41"/>
        <item x="178"/>
        <item x="221"/>
        <item x="160"/>
        <item x="111"/>
        <item x="240"/>
        <item x="181"/>
        <item x="196"/>
        <item x="217"/>
        <item x="200"/>
        <item x="100"/>
        <item x="112"/>
        <item x="115"/>
        <item x="255"/>
        <item x="263"/>
        <item x="81"/>
        <item x="80"/>
        <item x="290"/>
        <item x="89"/>
        <item x="94"/>
        <item x="185"/>
        <item x="13"/>
        <item x="57"/>
        <item x="6"/>
        <item x="133"/>
        <item x="248"/>
        <item x="27"/>
        <item x="12"/>
        <item x="49"/>
        <item x="15"/>
        <item t="default"/>
      </items>
    </pivotField>
    <pivotField showAll="0">
      <items count="295">
        <item x="269"/>
        <item x="163"/>
        <item x="182"/>
        <item x="245"/>
        <item x="233"/>
        <item x="78"/>
        <item x="272"/>
        <item x="73"/>
        <item x="158"/>
        <item x="287"/>
        <item x="273"/>
        <item x="281"/>
        <item x="239"/>
        <item x="228"/>
        <item x="280"/>
        <item x="177"/>
        <item x="236"/>
        <item x="106"/>
        <item x="292"/>
        <item x="232"/>
        <item x="263"/>
        <item x="267"/>
        <item x="215"/>
        <item x="105"/>
        <item x="180"/>
        <item x="79"/>
        <item x="189"/>
        <item x="248"/>
        <item x="43"/>
        <item x="230"/>
        <item x="53"/>
        <item x="115"/>
        <item x="156"/>
        <item x="202"/>
        <item x="165"/>
        <item x="293"/>
        <item x="104"/>
        <item x="276"/>
        <item x="270"/>
        <item x="198"/>
        <item x="258"/>
        <item x="256"/>
        <item x="183"/>
        <item x="96"/>
        <item x="216"/>
        <item x="206"/>
        <item x="250"/>
        <item x="219"/>
        <item x="277"/>
        <item x="92"/>
        <item x="224"/>
        <item x="259"/>
        <item x="238"/>
        <item x="112"/>
        <item x="213"/>
        <item x="262"/>
        <item x="194"/>
        <item x="63"/>
        <item x="44"/>
        <item x="66"/>
        <item x="205"/>
        <item x="279"/>
        <item x="28"/>
        <item x="184"/>
        <item x="161"/>
        <item x="254"/>
        <item x="58"/>
        <item x="186"/>
        <item x="134"/>
        <item x="200"/>
        <item x="99"/>
        <item x="285"/>
        <item x="89"/>
        <item x="229"/>
        <item x="291"/>
        <item x="121"/>
        <item x="175"/>
        <item x="57"/>
        <item x="150"/>
        <item x="211"/>
        <item x="143"/>
        <item x="227"/>
        <item x="110"/>
        <item x="173"/>
        <item x="101"/>
        <item x="132"/>
        <item x="242"/>
        <item x="103"/>
        <item x="179"/>
        <item x="144"/>
        <item x="142"/>
        <item x="251"/>
        <item x="168"/>
        <item x="214"/>
        <item x="160"/>
        <item x="195"/>
        <item x="86"/>
        <item x="127"/>
        <item x="119"/>
        <item x="145"/>
        <item x="185"/>
        <item x="74"/>
        <item x="30"/>
        <item x="126"/>
        <item x="244"/>
        <item x="210"/>
        <item x="131"/>
        <item x="290"/>
        <item x="154"/>
        <item x="64"/>
        <item x="199"/>
        <item x="137"/>
        <item x="261"/>
        <item x="234"/>
        <item x="196"/>
        <item x="116"/>
        <item x="107"/>
        <item x="149"/>
        <item x="283"/>
        <item x="135"/>
        <item x="257"/>
        <item x="23"/>
        <item x="139"/>
        <item x="208"/>
        <item x="212"/>
        <item x="102"/>
        <item x="253"/>
        <item x="47"/>
        <item x="75"/>
        <item x="155"/>
        <item x="207"/>
        <item x="187"/>
        <item x="141"/>
        <item x="176"/>
        <item x="166"/>
        <item x="72"/>
        <item x="260"/>
        <item x="171"/>
        <item x="108"/>
        <item x="94"/>
        <item x="284"/>
        <item x="60"/>
        <item x="48"/>
        <item x="218"/>
        <item x="100"/>
        <item x="26"/>
        <item x="288"/>
        <item x="61"/>
        <item x="140"/>
        <item x="235"/>
        <item x="33"/>
        <item x="275"/>
        <item x="264"/>
        <item x="24"/>
        <item x="80"/>
        <item x="46"/>
        <item x="203"/>
        <item x="82"/>
        <item x="17"/>
        <item x="16"/>
        <item x="70"/>
        <item x="128"/>
        <item x="181"/>
        <item x="240"/>
        <item x="111"/>
        <item x="10"/>
        <item x="278"/>
        <item x="67"/>
        <item x="231"/>
        <item x="77"/>
        <item x="170"/>
        <item x="188"/>
        <item x="65"/>
        <item x="266"/>
        <item x="97"/>
        <item x="247"/>
        <item x="268"/>
        <item x="38"/>
        <item x="265"/>
        <item x="88"/>
        <item x="241"/>
        <item x="204"/>
        <item x="49"/>
        <item x="255"/>
        <item x="220"/>
        <item x="157"/>
        <item x="29"/>
        <item x="81"/>
        <item x="136"/>
        <item x="84"/>
        <item x="114"/>
        <item x="174"/>
        <item x="98"/>
        <item x="172"/>
        <item x="21"/>
        <item x="42"/>
        <item x="162"/>
        <item x="14"/>
        <item x="55"/>
        <item x="54"/>
        <item x="36"/>
        <item x="27"/>
        <item x="120"/>
        <item x="190"/>
        <item x="191"/>
        <item x="167"/>
        <item x="217"/>
        <item x="85"/>
        <item x="69"/>
        <item x="159"/>
        <item x="52"/>
        <item x="50"/>
        <item x="8"/>
        <item x="113"/>
        <item x="56"/>
        <item x="45"/>
        <item x="62"/>
        <item x="19"/>
        <item x="147"/>
        <item x="153"/>
        <item x="117"/>
        <item x="31"/>
        <item x="15"/>
        <item x="129"/>
        <item x="146"/>
        <item x="133"/>
        <item x="34"/>
        <item x="123"/>
        <item x="39"/>
        <item x="3"/>
        <item x="40"/>
        <item x="41"/>
        <item x="5"/>
        <item x="35"/>
        <item x="18"/>
        <item x="6"/>
        <item x="32"/>
        <item x="68"/>
        <item x="91"/>
        <item x="22"/>
        <item x="125"/>
        <item x="87"/>
        <item x="51"/>
        <item x="37"/>
        <item x="164"/>
        <item x="11"/>
        <item x="20"/>
        <item x="25"/>
        <item x="71"/>
        <item x="118"/>
        <item x="289"/>
        <item x="271"/>
        <item x="76"/>
        <item x="192"/>
        <item x="9"/>
        <item x="193"/>
        <item x="222"/>
        <item x="223"/>
        <item x="282"/>
        <item x="152"/>
        <item x="7"/>
        <item x="124"/>
        <item x="246"/>
        <item x="243"/>
        <item x="249"/>
        <item x="122"/>
        <item x="148"/>
        <item x="151"/>
        <item x="83"/>
        <item x="225"/>
        <item x="197"/>
        <item x="0"/>
        <item x="237"/>
        <item x="226"/>
        <item x="109"/>
        <item x="138"/>
        <item x="59"/>
        <item x="274"/>
        <item x="286"/>
        <item x="130"/>
        <item x="13"/>
        <item x="169"/>
        <item x="221"/>
        <item x="12"/>
        <item x="201"/>
        <item x="209"/>
        <item x="252"/>
        <item x="4"/>
        <item x="178"/>
        <item x="95"/>
        <item x="90"/>
        <item x="93"/>
        <item x="2"/>
        <item x="1"/>
        <item t="default"/>
      </items>
    </pivotField>
    <pivotField dataField="1" showAll="0"/>
    <pivotField showAll="0"/>
    <pivotField showAll="0"/>
    <pivotField showAll="0"/>
    <pivotField showAll="0"/>
    <pivotField showAll="0"/>
    <pivotField showAll="0"/>
  </pivotFields>
  <rowFields count="2">
    <field x="0"/>
    <field x="1"/>
  </rowFields>
  <rowItems count="20">
    <i>
      <x v="29"/>
    </i>
    <i>
      <x v="80"/>
    </i>
    <i r="1">
      <x v="208"/>
    </i>
    <i>
      <x v="107"/>
    </i>
    <i r="1">
      <x v="183"/>
    </i>
    <i>
      <x v="114"/>
    </i>
    <i r="1">
      <x v="177"/>
    </i>
    <i>
      <x v="125"/>
    </i>
    <i r="1">
      <x v="169"/>
    </i>
    <i>
      <x v="147"/>
    </i>
    <i r="1">
      <x v="150"/>
    </i>
    <i>
      <x v="192"/>
    </i>
    <i r="1">
      <x v="2"/>
    </i>
    <i>
      <x v="204"/>
    </i>
    <i r="1">
      <x v="109"/>
    </i>
    <i>
      <x v="278"/>
    </i>
    <i r="1">
      <x v="18"/>
    </i>
    <i>
      <x v="287"/>
    </i>
    <i r="1">
      <x v="93"/>
    </i>
    <i t="grand">
      <x/>
    </i>
  </rowItems>
  <colItems count="1">
    <i/>
  </colItems>
  <dataFields count="1">
    <dataField name="Sum of 1h Change (%)" fld="3" baseField="0" baseItem="0"/>
  </dataFields>
  <formats count="47">
    <format dxfId="517">
      <pivotArea collapsedLevelsAreSubtotals="1" fieldPosition="0">
        <references count="1">
          <reference field="0" count="1">
            <x v="29"/>
          </reference>
        </references>
      </pivotArea>
    </format>
    <format dxfId="518">
      <pivotArea collapsedLevelsAreSubtotals="1" fieldPosition="0">
        <references count="2">
          <reference field="0" count="1" selected="0">
            <x v="29"/>
          </reference>
          <reference field="1" count="1">
            <x v="259"/>
          </reference>
        </references>
      </pivotArea>
    </format>
    <format dxfId="519">
      <pivotArea collapsedLevelsAreSubtotals="1" fieldPosition="0">
        <references count="1">
          <reference field="0" count="1">
            <x v="80"/>
          </reference>
        </references>
      </pivotArea>
    </format>
    <format dxfId="520">
      <pivotArea collapsedLevelsAreSubtotals="1" fieldPosition="0">
        <references count="2">
          <reference field="0" count="1" selected="0">
            <x v="80"/>
          </reference>
          <reference field="1" count="1">
            <x v="208"/>
          </reference>
        </references>
      </pivotArea>
    </format>
    <format dxfId="521">
      <pivotArea collapsedLevelsAreSubtotals="1" fieldPosition="0">
        <references count="1">
          <reference field="0" count="1">
            <x v="107"/>
          </reference>
        </references>
      </pivotArea>
    </format>
    <format dxfId="522">
      <pivotArea collapsedLevelsAreSubtotals="1" fieldPosition="0">
        <references count="2">
          <reference field="0" count="1" selected="0">
            <x v="107"/>
          </reference>
          <reference field="1" count="1">
            <x v="183"/>
          </reference>
        </references>
      </pivotArea>
    </format>
    <format dxfId="523">
      <pivotArea collapsedLevelsAreSubtotals="1" fieldPosition="0">
        <references count="1">
          <reference field="0" count="1">
            <x v="114"/>
          </reference>
        </references>
      </pivotArea>
    </format>
    <format dxfId="524">
      <pivotArea collapsedLevelsAreSubtotals="1" fieldPosition="0">
        <references count="2">
          <reference field="0" count="1" selected="0">
            <x v="114"/>
          </reference>
          <reference field="1" count="1">
            <x v="177"/>
          </reference>
        </references>
      </pivotArea>
    </format>
    <format dxfId="525">
      <pivotArea collapsedLevelsAreSubtotals="1" fieldPosition="0">
        <references count="1">
          <reference field="0" count="1">
            <x v="125"/>
          </reference>
        </references>
      </pivotArea>
    </format>
    <format dxfId="526">
      <pivotArea collapsedLevelsAreSubtotals="1" fieldPosition="0">
        <references count="2">
          <reference field="0" count="1" selected="0">
            <x v="125"/>
          </reference>
          <reference field="1" count="1">
            <x v="169"/>
          </reference>
        </references>
      </pivotArea>
    </format>
    <format dxfId="527">
      <pivotArea collapsedLevelsAreSubtotals="1" fieldPosition="0">
        <references count="1">
          <reference field="0" count="1">
            <x v="147"/>
          </reference>
        </references>
      </pivotArea>
    </format>
    <format dxfId="528">
      <pivotArea collapsedLevelsAreSubtotals="1" fieldPosition="0">
        <references count="2">
          <reference field="0" count="1" selected="0">
            <x v="147"/>
          </reference>
          <reference field="1" count="1">
            <x v="150"/>
          </reference>
        </references>
      </pivotArea>
    </format>
    <format dxfId="529">
      <pivotArea collapsedLevelsAreSubtotals="1" fieldPosition="0">
        <references count="1">
          <reference field="0" count="1">
            <x v="192"/>
          </reference>
        </references>
      </pivotArea>
    </format>
    <format dxfId="530">
      <pivotArea collapsedLevelsAreSubtotals="1" fieldPosition="0">
        <references count="2">
          <reference field="0" count="1" selected="0">
            <x v="192"/>
          </reference>
          <reference field="1" count="1">
            <x v="2"/>
          </reference>
        </references>
      </pivotArea>
    </format>
    <format dxfId="531">
      <pivotArea collapsedLevelsAreSubtotals="1" fieldPosition="0">
        <references count="1">
          <reference field="0" count="1">
            <x v="204"/>
          </reference>
        </references>
      </pivotArea>
    </format>
    <format dxfId="532">
      <pivotArea collapsedLevelsAreSubtotals="1" fieldPosition="0">
        <references count="2">
          <reference field="0" count="1" selected="0">
            <x v="204"/>
          </reference>
          <reference field="1" count="1">
            <x v="109"/>
          </reference>
        </references>
      </pivotArea>
    </format>
    <format dxfId="533">
      <pivotArea collapsedLevelsAreSubtotals="1" fieldPosition="0">
        <references count="1">
          <reference field="0" count="1">
            <x v="278"/>
          </reference>
        </references>
      </pivotArea>
    </format>
    <format dxfId="534">
      <pivotArea collapsedLevelsAreSubtotals="1" fieldPosition="0">
        <references count="2">
          <reference field="0" count="1" selected="0">
            <x v="278"/>
          </reference>
          <reference field="1" count="1">
            <x v="18"/>
          </reference>
        </references>
      </pivotArea>
    </format>
    <format dxfId="535">
      <pivotArea collapsedLevelsAreSubtotals="1" fieldPosition="0">
        <references count="1">
          <reference field="0" count="1">
            <x v="287"/>
          </reference>
        </references>
      </pivotArea>
    </format>
    <format dxfId="536">
      <pivotArea collapsedLevelsAreSubtotals="1" fieldPosition="0">
        <references count="2">
          <reference field="0" count="1" selected="0">
            <x v="287"/>
          </reference>
          <reference field="1" count="1">
            <x v="93"/>
          </reference>
        </references>
      </pivotArea>
    </format>
    <format dxfId="537">
      <pivotArea dataOnly="0" labelOnly="1" fieldPosition="0">
        <references count="1">
          <reference field="0" count="10">
            <x v="29"/>
            <x v="80"/>
            <x v="107"/>
            <x v="114"/>
            <x v="125"/>
            <x v="147"/>
            <x v="192"/>
            <x v="204"/>
            <x v="278"/>
            <x v="287"/>
          </reference>
        </references>
      </pivotArea>
    </format>
    <format dxfId="538">
      <pivotArea dataOnly="0" labelOnly="1" fieldPosition="0">
        <references count="2">
          <reference field="0" count="1" selected="0">
            <x v="29"/>
          </reference>
          <reference field="1" count="1">
            <x v="259"/>
          </reference>
        </references>
      </pivotArea>
    </format>
    <format dxfId="539">
      <pivotArea dataOnly="0" labelOnly="1" fieldPosition="0">
        <references count="2">
          <reference field="0" count="1" selected="0">
            <x v="80"/>
          </reference>
          <reference field="1" count="1">
            <x v="208"/>
          </reference>
        </references>
      </pivotArea>
    </format>
    <format dxfId="540">
      <pivotArea dataOnly="0" labelOnly="1" fieldPosition="0">
        <references count="2">
          <reference field="0" count="1" selected="0">
            <x v="107"/>
          </reference>
          <reference field="1" count="1">
            <x v="183"/>
          </reference>
        </references>
      </pivotArea>
    </format>
    <format dxfId="541">
      <pivotArea dataOnly="0" labelOnly="1" fieldPosition="0">
        <references count="2">
          <reference field="0" count="1" selected="0">
            <x v="114"/>
          </reference>
          <reference field="1" count="1">
            <x v="177"/>
          </reference>
        </references>
      </pivotArea>
    </format>
    <format dxfId="542">
      <pivotArea dataOnly="0" labelOnly="1" fieldPosition="0">
        <references count="2">
          <reference field="0" count="1" selected="0">
            <x v="125"/>
          </reference>
          <reference field="1" count="1">
            <x v="169"/>
          </reference>
        </references>
      </pivotArea>
    </format>
    <format dxfId="543">
      <pivotArea dataOnly="0" labelOnly="1" fieldPosition="0">
        <references count="2">
          <reference field="0" count="1" selected="0">
            <x v="147"/>
          </reference>
          <reference field="1" count="1">
            <x v="150"/>
          </reference>
        </references>
      </pivotArea>
    </format>
    <format dxfId="544">
      <pivotArea dataOnly="0" labelOnly="1" fieldPosition="0">
        <references count="2">
          <reference field="0" count="1" selected="0">
            <x v="192"/>
          </reference>
          <reference field="1" count="1">
            <x v="2"/>
          </reference>
        </references>
      </pivotArea>
    </format>
    <format dxfId="545">
      <pivotArea dataOnly="0" labelOnly="1" fieldPosition="0">
        <references count="2">
          <reference field="0" count="1" selected="0">
            <x v="204"/>
          </reference>
          <reference field="1" count="1">
            <x v="109"/>
          </reference>
        </references>
      </pivotArea>
    </format>
    <format dxfId="546">
      <pivotArea dataOnly="0" labelOnly="1" fieldPosition="0">
        <references count="2">
          <reference field="0" count="1" selected="0">
            <x v="278"/>
          </reference>
          <reference field="1" count="1">
            <x v="18"/>
          </reference>
        </references>
      </pivotArea>
    </format>
    <format dxfId="547">
      <pivotArea dataOnly="0" labelOnly="1" fieldPosition="0">
        <references count="2">
          <reference field="0" count="1" selected="0">
            <x v="287"/>
          </reference>
          <reference field="1" count="1">
            <x v="93"/>
          </reference>
        </references>
      </pivotArea>
    </format>
    <format dxfId="548">
      <pivotArea type="all" dataOnly="0" outline="0" fieldPosition="0"/>
    </format>
    <format dxfId="549">
      <pivotArea outline="0" collapsedLevelsAreSubtotals="1" fieldPosition="0"/>
    </format>
    <format dxfId="550">
      <pivotArea field="0" type="button" dataOnly="0" labelOnly="1" outline="0" axis="axisRow" fieldPosition="0"/>
    </format>
    <format dxfId="551">
      <pivotArea dataOnly="0" labelOnly="1" fieldPosition="0">
        <references count="1">
          <reference field="0" count="10">
            <x v="29"/>
            <x v="80"/>
            <x v="107"/>
            <x v="114"/>
            <x v="125"/>
            <x v="147"/>
            <x v="192"/>
            <x v="204"/>
            <x v="278"/>
            <x v="287"/>
          </reference>
        </references>
      </pivotArea>
    </format>
    <format dxfId="552">
      <pivotArea dataOnly="0" labelOnly="1" grandRow="1" outline="0" fieldPosition="0"/>
    </format>
    <format dxfId="553">
      <pivotArea dataOnly="0" labelOnly="1" fieldPosition="0">
        <references count="2">
          <reference field="0" count="1" selected="0">
            <x v="29"/>
          </reference>
          <reference field="1" count="1">
            <x v="259"/>
          </reference>
        </references>
      </pivotArea>
    </format>
    <format dxfId="554">
      <pivotArea dataOnly="0" labelOnly="1" fieldPosition="0">
        <references count="2">
          <reference field="0" count="1" selected="0">
            <x v="80"/>
          </reference>
          <reference field="1" count="1">
            <x v="208"/>
          </reference>
        </references>
      </pivotArea>
    </format>
    <format dxfId="555">
      <pivotArea dataOnly="0" labelOnly="1" fieldPosition="0">
        <references count="2">
          <reference field="0" count="1" selected="0">
            <x v="107"/>
          </reference>
          <reference field="1" count="1">
            <x v="183"/>
          </reference>
        </references>
      </pivotArea>
    </format>
    <format dxfId="556">
      <pivotArea dataOnly="0" labelOnly="1" fieldPosition="0">
        <references count="2">
          <reference field="0" count="1" selected="0">
            <x v="114"/>
          </reference>
          <reference field="1" count="1">
            <x v="177"/>
          </reference>
        </references>
      </pivotArea>
    </format>
    <format dxfId="557">
      <pivotArea dataOnly="0" labelOnly="1" fieldPosition="0">
        <references count="2">
          <reference field="0" count="1" selected="0">
            <x v="125"/>
          </reference>
          <reference field="1" count="1">
            <x v="169"/>
          </reference>
        </references>
      </pivotArea>
    </format>
    <format dxfId="558">
      <pivotArea dataOnly="0" labelOnly="1" fieldPosition="0">
        <references count="2">
          <reference field="0" count="1" selected="0">
            <x v="147"/>
          </reference>
          <reference field="1" count="1">
            <x v="150"/>
          </reference>
        </references>
      </pivotArea>
    </format>
    <format dxfId="559">
      <pivotArea dataOnly="0" labelOnly="1" fieldPosition="0">
        <references count="2">
          <reference field="0" count="1" selected="0">
            <x v="192"/>
          </reference>
          <reference field="1" count="1">
            <x v="2"/>
          </reference>
        </references>
      </pivotArea>
    </format>
    <format dxfId="560">
      <pivotArea dataOnly="0" labelOnly="1" fieldPosition="0">
        <references count="2">
          <reference field="0" count="1" selected="0">
            <x v="204"/>
          </reference>
          <reference field="1" count="1">
            <x v="109"/>
          </reference>
        </references>
      </pivotArea>
    </format>
    <format dxfId="561">
      <pivotArea dataOnly="0" labelOnly="1" fieldPosition="0">
        <references count="2">
          <reference field="0" count="1" selected="0">
            <x v="278"/>
          </reference>
          <reference field="1" count="1">
            <x v="18"/>
          </reference>
        </references>
      </pivotArea>
    </format>
    <format dxfId="562">
      <pivotArea dataOnly="0" labelOnly="1" fieldPosition="0">
        <references count="2">
          <reference field="0" count="1" selected="0">
            <x v="287"/>
          </reference>
          <reference field="1" count="1">
            <x v="93"/>
          </reference>
        </references>
      </pivotArea>
    </format>
    <format dxfId="563">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350C8A-DBED-45E1-9675-83300D564C6A}" autoFormatId="16" applyNumberFormats="0" applyBorderFormats="0" applyFontFormats="0" applyPatternFormats="0" applyAlignmentFormats="0" applyWidthHeightFormats="0">
  <queryTableRefresh nextId="12" unboundColumnsRight="3">
    <queryTableFields count="10">
      <queryTableField id="1" name="Coin Name" tableColumnId="1"/>
      <queryTableField id="2" name="Symbol" tableColumnId="2"/>
      <queryTableField id="3" name="Price (USD)" tableColumnId="3"/>
      <queryTableField id="4" name="1h Change (%)" tableColumnId="4"/>
      <queryTableField id="5" name="Market Cap" tableColumnId="5"/>
      <queryTableField id="6" name="Volume (24h)" tableColumnId="6"/>
      <queryTableField id="7" name="Circulating Supply" tableColumnId="7"/>
      <queryTableField id="8" dataBound="0" tableColumnId="8"/>
      <queryTableField id="9" dataBound="0" tableColumnId="9"/>
      <queryTableField id="1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_USD" xr10:uid="{9656BA1A-AC70-4AE8-93DF-8D022A68B80B}" sourceName="Price (USD)">
  <pivotTables>
    <pivotTable tabId="3" name="PivotTable1"/>
    <pivotTable tabId="3" name="PivotTable3"/>
  </pivotTables>
  <data>
    <tabular pivotCacheId="70420739">
      <items count="248">
        <i x="77" s="1"/>
        <i x="73" s="1"/>
        <i x="105" s="1"/>
        <i x="208" s="1"/>
        <i x="104" s="1"/>
        <i x="78" s="1"/>
        <i x="43" s="1"/>
        <i x="206" s="1"/>
        <i x="53" s="1"/>
        <i x="103" s="1"/>
        <i x="236" s="1"/>
        <i x="232" s="1"/>
        <i x="183" s="1"/>
        <i x="225" s="1"/>
        <i x="170" s="1"/>
        <i x="95" s="1"/>
        <i x="188" s="1"/>
        <i x="197" s="1"/>
        <i x="237" s="1"/>
        <i x="91" s="1"/>
        <i x="227" s="1"/>
        <i x="212" s="1"/>
        <i x="111" s="1"/>
        <i x="179" s="1"/>
        <i x="63" s="1"/>
        <i x="44" s="1"/>
        <i x="66" s="1"/>
        <i x="187" s="1"/>
        <i x="28" s="1"/>
        <i x="154" s="1"/>
        <i x="223" s="1"/>
        <i x="58" s="1"/>
        <i x="172" s="1"/>
        <i x="131" s="1"/>
        <i x="184" s="1"/>
        <i x="98" s="1"/>
        <i x="242" s="1"/>
        <i x="88" s="1"/>
        <i x="205" s="1"/>
        <i x="247" s="1"/>
        <i x="119" s="1"/>
        <i x="165" s="1"/>
        <i x="57" s="1"/>
        <i x="145" s="1"/>
        <i x="193" s="1"/>
        <i x="140" s="1"/>
        <i x="204" s="1"/>
        <i x="109" s="1"/>
        <i x="100" s="1"/>
        <i x="214" s="1"/>
        <i x="102" s="1"/>
        <i x="168" s="1"/>
        <i x="139" s="1"/>
        <i x="220" s="1"/>
        <i x="159" s="1"/>
        <i x="153" s="1"/>
        <i x="180" s="1"/>
        <i x="85" s="1"/>
        <i x="125" s="1"/>
        <i x="117" s="1"/>
        <i x="171" s="1"/>
        <i x="30" s="1"/>
        <i x="124" s="1"/>
        <i x="216" s="1"/>
        <i x="192" s="1"/>
        <i x="129" s="1"/>
        <i x="246" s="1"/>
        <i x="149" s="1"/>
        <i x="64" s="1"/>
        <i x="134" s="1"/>
        <i x="229" s="1"/>
        <i x="209" s="1"/>
        <i x="181" s="1"/>
        <i x="114" s="1"/>
        <i x="106" s="1"/>
        <i x="144" s="1"/>
        <i x="240" s="1"/>
        <i x="132" s="1"/>
        <i x="226" s="1"/>
        <i x="23" s="1"/>
        <i x="136" s="1"/>
        <i x="190" s="1"/>
        <i x="194" s="1"/>
        <i x="101" s="1"/>
        <i x="222" s="1"/>
        <i x="47" s="1"/>
        <i x="74" s="1"/>
        <i x="150" s="1"/>
        <i x="189" s="1"/>
        <i x="173" s="1"/>
        <i x="138" s="1"/>
        <i x="166" s="1"/>
        <i x="157" s="1"/>
        <i x="72" s="1"/>
        <i x="228" s="1"/>
        <i x="162" s="1"/>
        <i x="107" s="1"/>
        <i x="93" s="1"/>
        <i x="241" s="1"/>
        <i x="60" s="1"/>
        <i x="48" s="1"/>
        <i x="196" s="1"/>
        <i x="99" s="1"/>
        <i x="26" s="1"/>
        <i x="244" s="1"/>
        <i x="61" s="1"/>
        <i x="137" s="1"/>
        <i x="210" s="1"/>
        <i x="33" s="1"/>
        <i x="235" s="1"/>
        <i x="230" s="1"/>
        <i x="24" s="1"/>
        <i x="79" s="1"/>
        <i x="46" s="1"/>
        <i x="81" s="1"/>
        <i x="17" s="1"/>
        <i x="16" s="1"/>
        <i x="70" s="1"/>
        <i x="126" s="1"/>
        <i x="169" s="1"/>
        <i x="213" s="1"/>
        <i x="110" s="1"/>
        <i x="10" s="1"/>
        <i x="238" s="1"/>
        <i x="67" s="1"/>
        <i x="207" s="1"/>
        <i x="76" s="1"/>
        <i x="161" s="1"/>
        <i x="174" s="1"/>
        <i x="65" s="1"/>
        <i x="96" s="1"/>
        <i x="218" s="1"/>
        <i x="231" s="1"/>
        <i x="38" s="1"/>
        <i x="87" s="1"/>
        <i x="186" s="1"/>
        <i x="49" s="1"/>
        <i x="224" s="1"/>
        <i x="198" s="1"/>
        <i x="151" s="1"/>
        <i x="29" s="1"/>
        <i x="80" s="1"/>
        <i x="133" s="1"/>
        <i x="83" s="1"/>
        <i x="113" s="1"/>
        <i x="164" s="1"/>
        <i x="97" s="1"/>
        <i x="163" s="1"/>
        <i x="21" s="1"/>
        <i x="42" s="1"/>
        <i x="155" s="1"/>
        <i x="14" s="1"/>
        <i x="55" s="1"/>
        <i x="54" s="1"/>
        <i x="36" s="1"/>
        <i x="27" s="1"/>
        <i x="118" s="1"/>
        <i x="175" s="1"/>
        <i x="176" s="1"/>
        <i x="158" s="1"/>
        <i x="195" s="1"/>
        <i x="84" s="1"/>
        <i x="69" s="1"/>
        <i x="152" s="1"/>
        <i x="52" s="1"/>
        <i x="50" s="1"/>
        <i x="8" s="1"/>
        <i x="112" s="1"/>
        <i x="56" s="1"/>
        <i x="45" s="1"/>
        <i x="62" s="1"/>
        <i x="19" s="1"/>
        <i x="142" s="1"/>
        <i x="148" s="1"/>
        <i x="115" s="1"/>
        <i x="31" s="1"/>
        <i x="15" s="1"/>
        <i x="127" s="1"/>
        <i x="141" s="1"/>
        <i x="130" s="1"/>
        <i x="34" s="1"/>
        <i x="121" s="1"/>
        <i x="39" s="1"/>
        <i x="3" s="1"/>
        <i x="40" s="1"/>
        <i x="41" s="1"/>
        <i x="5" s="1"/>
        <i x="35" s="1"/>
        <i x="18" s="1"/>
        <i x="6" s="1"/>
        <i x="32" s="1"/>
        <i x="68" s="1"/>
        <i x="90" s="1"/>
        <i x="22" s="1"/>
        <i x="123" s="1"/>
        <i x="86" s="1"/>
        <i x="51" s="1"/>
        <i x="37" s="1"/>
        <i x="156" s="1"/>
        <i x="11" s="1"/>
        <i x="20" s="1"/>
        <i x="25" s="1"/>
        <i x="71" s="1"/>
        <i x="116" s="1"/>
        <i x="245" s="1"/>
        <i x="233" s="1"/>
        <i x="75" s="1"/>
        <i x="177" s="1"/>
        <i x="9" s="1"/>
        <i x="178" s="1"/>
        <i x="200" s="1"/>
        <i x="201" s="1"/>
        <i x="239" s="1"/>
        <i x="147" s="1"/>
        <i x="7" s="1"/>
        <i x="122" s="1"/>
        <i x="217" s="1"/>
        <i x="215" s="1"/>
        <i x="219" s="1"/>
        <i x="120" s="1"/>
        <i x="143" s="1"/>
        <i x="146" s="1"/>
        <i x="82" s="1"/>
        <i x="202" s="1"/>
        <i x="182" s="1"/>
        <i x="0" s="1"/>
        <i x="211" s="1"/>
        <i x="203" s="1"/>
        <i x="108" s="1"/>
        <i x="135" s="1"/>
        <i x="59" s="1"/>
        <i x="234" s="1"/>
        <i x="243" s="1"/>
        <i x="128" s="1"/>
        <i x="13" s="1"/>
        <i x="160" s="1"/>
        <i x="199" s="1"/>
        <i x="12" s="1"/>
        <i x="185" s="1"/>
        <i x="191" s="1"/>
        <i x="221" s="1"/>
        <i x="4" s="1"/>
        <i x="167" s="1"/>
        <i x="94" s="1"/>
        <i x="89" s="1"/>
        <i x="92"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h_Change" xr10:uid="{1BEEE3A7-D571-4825-892C-12186A8D23ED}" sourceName="1h Change (%)">
  <pivotTables>
    <pivotTable tabId="3" name="PivotTable3"/>
  </pivotTables>
  <data>
    <tabular pivotCacheId="70420739">
      <items count="119">
        <i x="9" s="1"/>
        <i x="1" s="1"/>
        <i x="21" s="1"/>
        <i x="6" s="1"/>
        <i x="91" s="1"/>
        <i x="64" s="1"/>
        <i x="4" s="1"/>
        <i x="56" s="1"/>
        <i x="30" s="1"/>
        <i x="35" s="1"/>
        <i x="29" s="1"/>
        <i x="31" s="1"/>
        <i x="40" s="1"/>
        <i x="23" s="1"/>
        <i x="39" s="1"/>
        <i x="75" s="1"/>
        <i x="0" s="1"/>
        <i x="57" s="1"/>
        <i x="15" s="1"/>
        <i x="26" s="1"/>
        <i x="13" s="1"/>
        <i x="3" s="1"/>
        <i x="10" s="1"/>
        <i x="41" s="1"/>
        <i x="5" s="1"/>
        <i x="73" s="1"/>
        <i x="72" s="1"/>
        <i x="2" s="1"/>
        <i x="49" s="1"/>
        <i x="46" s="1"/>
        <i x="87" s="1"/>
        <i x="33" s="1"/>
        <i x="81" s="1"/>
        <i x="52" s="1"/>
        <i x="25" s="1"/>
        <i x="60" s="1"/>
        <i x="37" s="1"/>
        <i x="55" s="1"/>
        <i x="61" s="1"/>
        <i x="20" s="1"/>
        <i x="19" s="1"/>
        <i x="8" s="1"/>
        <i x="22" s="1"/>
        <i x="34" s="1"/>
        <i x="17" s="1"/>
        <i x="18" s="1"/>
        <i x="90" s="1"/>
        <i x="116" s="1"/>
        <i x="54" s="1"/>
        <i x="93" s="1"/>
        <i x="65" s="1"/>
        <i x="69" s="1"/>
        <i x="107" s="1"/>
        <i x="115" s="1"/>
        <i x="80" s="1"/>
        <i x="11" s="1"/>
        <i x="32" s="1"/>
        <i x="96" s="1"/>
        <i x="59" s="1"/>
        <i x="102" s="1"/>
        <i x="43" s="1"/>
        <i x="98" s="1"/>
        <i x="51" s="1"/>
        <i x="110" s="1"/>
        <i x="104" s="1"/>
        <i x="113" s="1"/>
        <i x="53" s="1"/>
        <i x="38" s="1"/>
        <i x="50" s="1"/>
        <i x="70" s="1"/>
        <i x="44" s="1"/>
        <i x="14" s="1"/>
        <i x="63" s="1"/>
        <i x="24" s="1"/>
        <i x="12" s="1"/>
        <i x="86" s="1"/>
        <i x="68" s="1"/>
        <i x="58" s="1"/>
        <i x="7" s="1"/>
        <i x="114" s="1"/>
        <i x="89" s="1"/>
        <i x="77" s="1"/>
        <i x="83" s="1"/>
        <i x="45" s="1"/>
        <i x="36" s="1"/>
        <i x="66" s="1"/>
        <i x="79" s="1"/>
        <i x="27" s="1"/>
        <i x="28" s="1"/>
        <i x="108" s="1"/>
        <i x="85" s="1"/>
        <i x="71" s="1"/>
        <i x="94" s="1"/>
        <i x="99" s="1"/>
        <i x="103" s="1"/>
        <i x="112" s="1"/>
        <i x="16" s="1"/>
        <i x="82" s="1"/>
        <i x="97" s="1"/>
        <i x="78" s="1"/>
        <i x="100" s="1"/>
        <i x="42" s="1"/>
        <i x="47" s="1"/>
        <i x="117" s="1"/>
        <i x="101" s="1"/>
        <i x="95" s="1"/>
        <i x="92" s="1"/>
        <i x="62" s="1"/>
        <i x="76" s="1"/>
        <i x="74" s="1"/>
        <i x="109" s="1"/>
        <i x="88" s="1"/>
        <i x="67" s="1"/>
        <i x="118" s="1"/>
        <i x="48" s="1"/>
        <i x="84" s="1"/>
        <i x="106" s="1"/>
        <i x="105" s="1"/>
        <i x="1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_USD1" xr10:uid="{B769E81C-8494-4DE2-A248-A123A2B6780C}" sourceName="Price (USD)">
  <pivotTables>
    <pivotTable tabId="5" name="PivotTable9"/>
    <pivotTable tabId="5" name="PivotTable10"/>
    <pivotTable tabId="5" name="PivotTable12"/>
    <pivotTable tabId="5" name="PivotTable13"/>
    <pivotTable tabId="5" name="PivotTable16"/>
    <pivotTable tabId="5" name="PivotTable17"/>
    <pivotTable tabId="5" name="PivotTable18"/>
    <pivotTable tabId="5" name="PivotTable1"/>
    <pivotTable tabId="16" name="PivotTable2"/>
  </pivotTables>
  <data>
    <tabular pivotCacheId="1626911496">
      <items count="294">
        <i x="269" s="1"/>
        <i x="163" s="1"/>
        <i x="182" s="1"/>
        <i x="245" s="1"/>
        <i x="233" s="1"/>
        <i x="78" s="1"/>
        <i x="272" s="1"/>
        <i x="73" s="1"/>
        <i x="158" s="1"/>
        <i x="287" s="1"/>
        <i x="273" s="1"/>
        <i x="281" s="1"/>
        <i x="239" s="1"/>
        <i x="228" s="1"/>
        <i x="280" s="1"/>
        <i x="177" s="1"/>
        <i x="236" s="1"/>
        <i x="106" s="1"/>
        <i x="292" s="1"/>
        <i x="232" s="1"/>
        <i x="263" s="1"/>
        <i x="267" s="1"/>
        <i x="215" s="1"/>
        <i x="105" s="1"/>
        <i x="180" s="1"/>
        <i x="79" s="1"/>
        <i x="189" s="1"/>
        <i x="248" s="1"/>
        <i x="43" s="1"/>
        <i x="230" s="1"/>
        <i x="53" s="1"/>
        <i x="115" s="1"/>
        <i x="156" s="1"/>
        <i x="202" s="1"/>
        <i x="165" s="1"/>
        <i x="293" s="1"/>
        <i x="104" s="1"/>
        <i x="276" s="1"/>
        <i x="270" s="1"/>
        <i x="198" s="1"/>
        <i x="258" s="1"/>
        <i x="256" s="1"/>
        <i x="183" s="1"/>
        <i x="96" s="1"/>
        <i x="216" s="1"/>
        <i x="206" s="1"/>
        <i x="250" s="1"/>
        <i x="219" s="1"/>
        <i x="277" s="1"/>
        <i x="92" s="1"/>
        <i x="224" s="1"/>
        <i x="259" s="1"/>
        <i x="238" s="1"/>
        <i x="112" s="1"/>
        <i x="213" s="1"/>
        <i x="262" s="1"/>
        <i x="194" s="1"/>
        <i x="63" s="1"/>
        <i x="44" s="1"/>
        <i x="66" s="1"/>
        <i x="205" s="1"/>
        <i x="279" s="1"/>
        <i x="28" s="1"/>
        <i x="184" s="1"/>
        <i x="161" s="1"/>
        <i x="254" s="1"/>
        <i x="58" s="1"/>
        <i x="186" s="1"/>
        <i x="134" s="1"/>
        <i x="200" s="1"/>
        <i x="99" s="1"/>
        <i x="285" s="1"/>
        <i x="89" s="1"/>
        <i x="229" s="1"/>
        <i x="291" s="1"/>
        <i x="121" s="1"/>
        <i x="175" s="1"/>
        <i x="57" s="1"/>
        <i x="150" s="1"/>
        <i x="211" s="1"/>
        <i x="143" s="1"/>
        <i x="227" s="1"/>
        <i x="110" s="1"/>
        <i x="173" s="1"/>
        <i x="101" s="1"/>
        <i x="132" s="1"/>
        <i x="242" s="1"/>
        <i x="103" s="1"/>
        <i x="179" s="1"/>
        <i x="144" s="1"/>
        <i x="142" s="1"/>
        <i x="251" s="1"/>
        <i x="168" s="1"/>
        <i x="214" s="1"/>
        <i x="160" s="1"/>
        <i x="195" s="1"/>
        <i x="86" s="1"/>
        <i x="127" s="1"/>
        <i x="119" s="1"/>
        <i x="145" s="1"/>
        <i x="185" s="1"/>
        <i x="74" s="1"/>
        <i x="30" s="1"/>
        <i x="126" s="1"/>
        <i x="244" s="1"/>
        <i x="210" s="1"/>
        <i x="131" s="1"/>
        <i x="290" s="1"/>
        <i x="154" s="1"/>
        <i x="64" s="1"/>
        <i x="199" s="1"/>
        <i x="137" s="1"/>
        <i x="261" s="1"/>
        <i x="234" s="1"/>
        <i x="196" s="1"/>
        <i x="116" s="1"/>
        <i x="107" s="1"/>
        <i x="149" s="1"/>
        <i x="283" s="1"/>
        <i x="135" s="1"/>
        <i x="257" s="1"/>
        <i x="23" s="1"/>
        <i x="139" s="1"/>
        <i x="208" s="1"/>
        <i x="212" s="1"/>
        <i x="102" s="1"/>
        <i x="253" s="1"/>
        <i x="47" s="1"/>
        <i x="75" s="1"/>
        <i x="155" s="1"/>
        <i x="207" s="1"/>
        <i x="187" s="1"/>
        <i x="141" s="1"/>
        <i x="176" s="1"/>
        <i x="166" s="1"/>
        <i x="72" s="1"/>
        <i x="260" s="1"/>
        <i x="171" s="1"/>
        <i x="108" s="1"/>
        <i x="94" s="1"/>
        <i x="284" s="1"/>
        <i x="60" s="1"/>
        <i x="48" s="1"/>
        <i x="218" s="1"/>
        <i x="100" s="1"/>
        <i x="26" s="1"/>
        <i x="288" s="1"/>
        <i x="61" s="1"/>
        <i x="140" s="1"/>
        <i x="235" s="1"/>
        <i x="33" s="1"/>
        <i x="275" s="1"/>
        <i x="264" s="1"/>
        <i x="24" s="1"/>
        <i x="80" s="1"/>
        <i x="46" s="1"/>
        <i x="203" s="1"/>
        <i x="82" s="1"/>
        <i x="17" s="1"/>
        <i x="16" s="1"/>
        <i x="70" s="1"/>
        <i x="128" s="1"/>
        <i x="181" s="1"/>
        <i x="240" s="1"/>
        <i x="111" s="1"/>
        <i x="10" s="1"/>
        <i x="278" s="1"/>
        <i x="67" s="1"/>
        <i x="231" s="1"/>
        <i x="77" s="1"/>
        <i x="170" s="1"/>
        <i x="188" s="1"/>
        <i x="65" s="1"/>
        <i x="266" s="1"/>
        <i x="97" s="1"/>
        <i x="247" s="1"/>
        <i x="268" s="1"/>
        <i x="38" s="1"/>
        <i x="265" s="1"/>
        <i x="88" s="1"/>
        <i x="241" s="1"/>
        <i x="204" s="1"/>
        <i x="49" s="1"/>
        <i x="255" s="1"/>
        <i x="220" s="1"/>
        <i x="157" s="1"/>
        <i x="29" s="1"/>
        <i x="81" s="1"/>
        <i x="136" s="1"/>
        <i x="84" s="1"/>
        <i x="114" s="1"/>
        <i x="174" s="1"/>
        <i x="98" s="1"/>
        <i x="172" s="1"/>
        <i x="21" s="1"/>
        <i x="42" s="1"/>
        <i x="162" s="1"/>
        <i x="14" s="1"/>
        <i x="55" s="1"/>
        <i x="54" s="1"/>
        <i x="36" s="1"/>
        <i x="27" s="1"/>
        <i x="120" s="1"/>
        <i x="190" s="1"/>
        <i x="191" s="1"/>
        <i x="167" s="1"/>
        <i x="217" s="1"/>
        <i x="85" s="1"/>
        <i x="69" s="1"/>
        <i x="159" s="1"/>
        <i x="52" s="1"/>
        <i x="50" s="1"/>
        <i x="8" s="1"/>
        <i x="113" s="1"/>
        <i x="56" s="1"/>
        <i x="45" s="1"/>
        <i x="62" s="1"/>
        <i x="19" s="1"/>
        <i x="147" s="1"/>
        <i x="153" s="1"/>
        <i x="117" s="1"/>
        <i x="31" s="1"/>
        <i x="15" s="1"/>
        <i x="129" s="1"/>
        <i x="146" s="1"/>
        <i x="133" s="1"/>
        <i x="34" s="1"/>
        <i x="123" s="1"/>
        <i x="39" s="1"/>
        <i x="3" s="1"/>
        <i x="40" s="1"/>
        <i x="41" s="1"/>
        <i x="5" s="1"/>
        <i x="35" s="1"/>
        <i x="18" s="1"/>
        <i x="6" s="1"/>
        <i x="32" s="1"/>
        <i x="68" s="1"/>
        <i x="91" s="1"/>
        <i x="22" s="1"/>
        <i x="125" s="1"/>
        <i x="87" s="1"/>
        <i x="51" s="1"/>
        <i x="37" s="1"/>
        <i x="164" s="1"/>
        <i x="11" s="1"/>
        <i x="20" s="1"/>
        <i x="25" s="1"/>
        <i x="71" s="1"/>
        <i x="118" s="1"/>
        <i x="289" s="1"/>
        <i x="271" s="1"/>
        <i x="76" s="1"/>
        <i x="192" s="1"/>
        <i x="9" s="1"/>
        <i x="193" s="1"/>
        <i x="222" s="1"/>
        <i x="223" s="1"/>
        <i x="282" s="1"/>
        <i x="152" s="1"/>
        <i x="7" s="1"/>
        <i x="124" s="1"/>
        <i x="246" s="1"/>
        <i x="243" s="1"/>
        <i x="249" s="1"/>
        <i x="122" s="1"/>
        <i x="148" s="1"/>
        <i x="151" s="1"/>
        <i x="83" s="1"/>
        <i x="225" s="1"/>
        <i x="197" s="1"/>
        <i x="0" s="1"/>
        <i x="237" s="1"/>
        <i x="226" s="1"/>
        <i x="109" s="1"/>
        <i x="138" s="1"/>
        <i x="59" s="1"/>
        <i x="274" s="1"/>
        <i x="286" s="1"/>
        <i x="130" s="1"/>
        <i x="13" s="1"/>
        <i x="169" s="1"/>
        <i x="221" s="1"/>
        <i x="12" s="1"/>
        <i x="201" s="1"/>
        <i x="209" s="1"/>
        <i x="252" s="1"/>
        <i x="4" s="1"/>
        <i x="178" s="1"/>
        <i x="95" s="1"/>
        <i x="90" s="1"/>
        <i x="9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USD)" xr10:uid="{A05FAB2E-0D49-46CB-A7AF-A3CF2EF418F1}" cache="Slicer_Price__USD" caption="Price (USD)" startItem="241" rowHeight="234950"/>
  <slicer name="1h Change (%)" xr10:uid="{1D87FB44-46F2-43E3-A396-8469FAEEFB8E}" cache="Slicer_1h_Change" caption="1h Change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USD) 1" xr10:uid="{76CC5B44-B730-4B97-8F03-A8624D2C8F57}" cache="Slicer_Price__USD1" caption="Price (USD)" startItem="3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USD) 2" xr10:uid="{45B360CC-2F5A-45B3-928E-496CE97D2C53}" cache="Slicer_Price__USD1" caption="Price (USD)" startItem="3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57AE8E-D1F4-4C64-B84C-66363792DA03}" name="Sheet1" displayName="Sheet1" ref="A1:J301" tableType="queryTable" totalsRowShown="0">
  <autoFilter ref="A1:J301" xr:uid="{1557AE8E-D1F4-4C64-B84C-66363792DA03}"/>
  <tableColumns count="10">
    <tableColumn id="1" xr3:uid="{D28E2684-2503-4284-9727-E4DD5A612591}" uniqueName="1" name="Coin Name" queryTableFieldId="1"/>
    <tableColumn id="2" xr3:uid="{875D6630-135E-4785-BA96-3A7D82F8413A}" uniqueName="2" name="Symbol" queryTableFieldId="2"/>
    <tableColumn id="3" xr3:uid="{318DC025-9E3C-4B45-B172-320851F437CA}" uniqueName="3" name="Price (USD)" queryTableFieldId="3"/>
    <tableColumn id="4" xr3:uid="{C7935591-E1DD-4390-9EF9-D76EC4A23532}" uniqueName="4" name="1h Change (%)" queryTableFieldId="4"/>
    <tableColumn id="5" xr3:uid="{7529EAD9-2CFA-45DB-A24D-CDA4BDF5CFF5}" uniqueName="5" name="Market Cap" queryTableFieldId="5"/>
    <tableColumn id="6" xr3:uid="{B4822189-11CB-4077-AFA4-6D6013B9D88F}" uniqueName="6" name="Volume (24h)" queryTableFieldId="6"/>
    <tableColumn id="7" xr3:uid="{8DD26786-18A1-4E6F-BAA2-E7CAFC0EBF2C}" uniqueName="7" name="Circulating Supply" queryTableFieldId="7"/>
    <tableColumn id="8" xr3:uid="{97389D71-C873-4A6D-BDF9-D8F2C816D89F}" uniqueName="8" name="Doller Volume per Supply" queryTableFieldId="8" dataDxfId="570">
      <calculatedColumnFormula>Sheet1[[#This Row],[Volume (24h)]]/Sheet1[[#This Row],[Circulating Supply]]</calculatedColumnFormula>
    </tableColumn>
    <tableColumn id="9" xr3:uid="{9C71EDDE-6DF2-452B-B4ED-FDDCA79A673F}" uniqueName="9" name="Rank " queryTableFieldId="9" dataDxfId="569">
      <calculatedColumnFormula>RANK(Sheet1[[#This Row],[Market Cap]],Sheet1[Market Cap],0)</calculatedColumnFormula>
    </tableColumn>
    <tableColumn id="10" xr3:uid="{C912D91E-9CEB-475E-8128-3E1C0A7A670E}" uniqueName="10" name="Price range" queryTableFieldId="11" dataDxfId="568">
      <calculatedColumnFormula>IF(C212&lt;=0.5,"0-0.5",
IF(C212&lt;=1,"0.5-1",
IF(C212&lt;=2,"1-2",
IF(C212&lt;=10,"2-10",
IF(C212&lt;=100,"10-100",
IF(C212&lt;=10000,"100-10000",
"10000+"))))))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CAA20C-0AA9-4F25-A12B-F66AB89F982E}" name="Table2" displayName="Table2" ref="A1:J301" totalsRowShown="0" headerRowDxfId="567">
  <autoFilter ref="A1:J301" xr:uid="{ADCAA20C-0AA9-4F25-A12B-F66AB89F982E}"/>
  <sortState xmlns:xlrd2="http://schemas.microsoft.com/office/spreadsheetml/2017/richdata2" ref="A2:J301">
    <sortCondition ref="A1:A301"/>
  </sortState>
  <tableColumns count="10">
    <tableColumn id="1" xr3:uid="{38C223BD-E38C-4334-83C9-F75C9F2FD308}" name="Coin Name"/>
    <tableColumn id="2" xr3:uid="{BE26BE7B-5B84-4867-8027-DA551752B87B}" name="Symbol"/>
    <tableColumn id="3" xr3:uid="{8DD0D27D-4922-42C1-8F77-D5C25E4B50EE}" name="Price (USD)"/>
    <tableColumn id="4" xr3:uid="{C1AC8DD4-AB47-4F1F-9989-8E254A97E438}" name="1h Change (%)"/>
    <tableColumn id="5" xr3:uid="{73EB7DDD-E330-4009-82F5-AFDEB52BC46C}" name="Market Cap"/>
    <tableColumn id="6" xr3:uid="{964DE61B-B8DB-477C-BAF3-9C5A62AC4976}" name="Volume (24h)"/>
    <tableColumn id="7" xr3:uid="{66F4549B-3280-4045-8C52-96EBBBCE2050}" name="Circulating Supply"/>
    <tableColumn id="8" xr3:uid="{43246407-DD86-465E-BC22-A835021C577C}" name="Doller Volume per Supply" dataDxfId="566">
      <calculatedColumnFormula>IFERROR(Sheet1[[#This Row],[Volume (24h)]]/Sheet1[[#This Row],[Circulating Supply]],0)</calculatedColumnFormula>
    </tableColumn>
    <tableColumn id="9" xr3:uid="{6C0EC9BE-1EE4-4135-9BB8-86AE6DB805BF}" name="Rank " dataDxfId="565">
      <calculatedColumnFormula>RANK(Table2[[#This Row],[Market Cap]],Table2[Market Cap],0)</calculatedColumnFormula>
    </tableColumn>
    <tableColumn id="10" xr3:uid="{B8D4A2D2-7751-4A50-9FA6-9D6E84952330}" name="Price range" dataDxfId="564">
      <calculatedColumnFormula>IF(C2&lt;=0.5,"0-0.5",
IF(C2&lt;=1,"0.5-1",
IF(C2&lt;=2,"1-2",
IF(C2&lt;=10,"2-10",
IF(C2&lt;=100,"10-100",
IF(C2&lt;=10000,"100-10000",
"10000+"))))))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2.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04FFA-FA25-45FF-9FC8-A716B7C1FEC8}">
  <dimension ref="A1:J301"/>
  <sheetViews>
    <sheetView topLeftCell="A2" workbookViewId="0">
      <selection activeCell="C10" sqref="C10"/>
    </sheetView>
  </sheetViews>
  <sheetFormatPr defaultRowHeight="14.4" x14ac:dyDescent="0.3"/>
  <cols>
    <col min="1" max="1" width="45.33203125" bestFit="1" customWidth="1"/>
    <col min="2" max="2" width="12.5546875" bestFit="1" customWidth="1"/>
    <col min="3" max="3" width="12.6640625" bestFit="1" customWidth="1"/>
    <col min="4" max="4" width="15.44140625" bestFit="1" customWidth="1"/>
    <col min="5" max="5" width="13" bestFit="1" customWidth="1"/>
    <col min="6" max="6" width="14.6640625" bestFit="1" customWidth="1"/>
    <col min="7" max="7" width="18.44140625" bestFit="1" customWidth="1"/>
    <col min="8" max="8" width="19" customWidth="1"/>
  </cols>
  <sheetData>
    <row r="1" spans="1:10" x14ac:dyDescent="0.3">
      <c r="A1" t="s">
        <v>0</v>
      </c>
      <c r="B1" t="s">
        <v>1</v>
      </c>
      <c r="C1" t="s">
        <v>2</v>
      </c>
      <c r="D1" t="s">
        <v>3</v>
      </c>
      <c r="E1" t="s">
        <v>4</v>
      </c>
      <c r="F1" t="s">
        <v>5</v>
      </c>
      <c r="G1" t="s">
        <v>6</v>
      </c>
      <c r="H1" t="s">
        <v>577</v>
      </c>
      <c r="I1" t="s">
        <v>578</v>
      </c>
      <c r="J1" t="s">
        <v>579</v>
      </c>
    </row>
    <row r="2" spans="1:10" x14ac:dyDescent="0.3">
      <c r="A2" t="s">
        <v>7</v>
      </c>
      <c r="B2" t="s">
        <v>8</v>
      </c>
      <c r="C2">
        <v>127.69</v>
      </c>
      <c r="D2">
        <v>0.16</v>
      </c>
      <c r="E2">
        <v>6050000</v>
      </c>
      <c r="F2">
        <v>1570000</v>
      </c>
      <c r="G2">
        <v>47430</v>
      </c>
      <c r="H2">
        <f>Sheet1[[#This Row],[Volume (24h)]]/Sheet1[[#This Row],[Circulating Supply]]</f>
        <v>33.101412608053977</v>
      </c>
      <c r="I2">
        <f>RANK(Sheet1[[#This Row],[Market Cap]],Sheet1[Market Cap],0)</f>
        <v>165</v>
      </c>
      <c r="J2" t="str">
        <f t="shared" ref="J2:J65" si="0">IF(C212&lt;=0.5,"0-0.5",
IF(C212&lt;=1,"0.5-1",
IF(C212&lt;=2,"1-2",
IF(C212&lt;=10,"2-10",
IF(C212&lt;=100,"10-100",
IF(C212&lt;=10000,"100-10000",
"10000+"))))))</f>
        <v>0-0.5</v>
      </c>
    </row>
    <row r="3" spans="1:10" x14ac:dyDescent="0.3">
      <c r="A3" t="s">
        <v>9</v>
      </c>
      <c r="B3" t="s">
        <v>10</v>
      </c>
      <c r="C3">
        <v>62905.02</v>
      </c>
      <c r="D3">
        <v>0.01</v>
      </c>
      <c r="E3">
        <v>1260000000000</v>
      </c>
      <c r="F3">
        <v>30990000000</v>
      </c>
      <c r="G3">
        <v>20060000</v>
      </c>
      <c r="H3">
        <f>Sheet1[[#This Row],[Volume (24h)]]/Sheet1[[#This Row],[Circulating Supply]]</f>
        <v>1544.865403788634</v>
      </c>
      <c r="I3">
        <f>RANK(Sheet1[[#This Row],[Market Cap]],Sheet1[Market Cap],0)</f>
        <v>1</v>
      </c>
      <c r="J3" t="str">
        <f t="shared" si="0"/>
        <v>0-0.5</v>
      </c>
    </row>
    <row r="4" spans="1:10" x14ac:dyDescent="0.3">
      <c r="A4" t="s">
        <v>11</v>
      </c>
      <c r="B4" t="s">
        <v>12</v>
      </c>
      <c r="C4">
        <v>1861.07</v>
      </c>
      <c r="D4">
        <v>0.27</v>
      </c>
      <c r="E4">
        <v>224490000000</v>
      </c>
      <c r="F4">
        <v>10560000000</v>
      </c>
      <c r="G4">
        <v>120680000</v>
      </c>
      <c r="H4">
        <f>Sheet1[[#This Row],[Volume (24h)]]/Sheet1[[#This Row],[Circulating Supply]]</f>
        <v>87.504143188597951</v>
      </c>
      <c r="I4">
        <f>RANK(Sheet1[[#This Row],[Market Cap]],Sheet1[Market Cap],0)</f>
        <v>2</v>
      </c>
      <c r="J4" t="str">
        <f t="shared" si="0"/>
        <v>0-0.5</v>
      </c>
    </row>
    <row r="5" spans="1:10" x14ac:dyDescent="0.3">
      <c r="A5" t="s">
        <v>13</v>
      </c>
      <c r="B5" t="s">
        <v>14</v>
      </c>
      <c r="C5">
        <v>0.999</v>
      </c>
      <c r="D5">
        <v>0.01</v>
      </c>
      <c r="E5">
        <v>183630000000</v>
      </c>
      <c r="F5">
        <v>56830000000</v>
      </c>
      <c r="G5">
        <v>183810000000</v>
      </c>
      <c r="H5">
        <f>Sheet1[[#This Row],[Volume (24h)]]/Sheet1[[#This Row],[Circulating Supply]]</f>
        <v>0.30917795549752464</v>
      </c>
      <c r="I5">
        <f>RANK(Sheet1[[#This Row],[Market Cap]],Sheet1[Market Cap],0)</f>
        <v>3</v>
      </c>
      <c r="J5" t="str">
        <f t="shared" si="0"/>
        <v>0-0.5</v>
      </c>
    </row>
    <row r="6" spans="1:10" x14ac:dyDescent="0.3">
      <c r="A6" t="s">
        <v>15</v>
      </c>
      <c r="B6" t="s">
        <v>15</v>
      </c>
      <c r="C6">
        <v>586.66999999999996</v>
      </c>
      <c r="D6">
        <v>0.21</v>
      </c>
      <c r="E6">
        <v>78080000000</v>
      </c>
      <c r="F6">
        <v>1230000000</v>
      </c>
      <c r="G6">
        <v>133160000</v>
      </c>
      <c r="H6">
        <f>Sheet1[[#This Row],[Volume (24h)]]/Sheet1[[#This Row],[Circulating Supply]]</f>
        <v>9.237008110543707</v>
      </c>
      <c r="I6">
        <f>RANK(Sheet1[[#This Row],[Market Cap]],Sheet1[Market Cap],0)</f>
        <v>4</v>
      </c>
      <c r="J6" t="str">
        <f t="shared" si="0"/>
        <v>0-0.5</v>
      </c>
    </row>
    <row r="7" spans="1:10" x14ac:dyDescent="0.3">
      <c r="A7" t="s">
        <v>16</v>
      </c>
      <c r="B7" t="s">
        <v>16</v>
      </c>
      <c r="C7">
        <v>0.99980000000000002</v>
      </c>
      <c r="D7">
        <v>0.01</v>
      </c>
      <c r="E7">
        <v>71920000000</v>
      </c>
      <c r="F7">
        <v>9790000000</v>
      </c>
      <c r="G7">
        <v>71940000000</v>
      </c>
      <c r="H7">
        <f>Sheet1[[#This Row],[Volume (24h)]]/Sheet1[[#This Row],[Circulating Supply]]</f>
        <v>0.13608562691131498</v>
      </c>
      <c r="I7">
        <f>RANK(Sheet1[[#This Row],[Market Cap]],Sheet1[Market Cap],0)</f>
        <v>5</v>
      </c>
      <c r="J7" t="str">
        <f t="shared" si="0"/>
        <v>100-10000</v>
      </c>
    </row>
    <row r="8" spans="1:10" x14ac:dyDescent="0.3">
      <c r="A8" t="s">
        <v>17</v>
      </c>
      <c r="B8" t="s">
        <v>17</v>
      </c>
      <c r="C8">
        <v>1.06</v>
      </c>
      <c r="D8">
        <v>0.06</v>
      </c>
      <c r="E8">
        <v>66340000000</v>
      </c>
      <c r="F8">
        <v>1160000000</v>
      </c>
      <c r="G8">
        <v>62530000000</v>
      </c>
      <c r="H8">
        <f>Sheet1[[#This Row],[Volume (24h)]]/Sheet1[[#This Row],[Circulating Supply]]</f>
        <v>1.8551095474172396E-2</v>
      </c>
      <c r="I8">
        <f>RANK(Sheet1[[#This Row],[Market Cap]],Sheet1[Market Cap],0)</f>
        <v>6</v>
      </c>
      <c r="J8" t="str">
        <f t="shared" si="0"/>
        <v>0-0.5</v>
      </c>
    </row>
    <row r="9" spans="1:10" x14ac:dyDescent="0.3">
      <c r="A9" t="s">
        <v>18</v>
      </c>
      <c r="B9" t="s">
        <v>19</v>
      </c>
      <c r="C9">
        <v>72.87</v>
      </c>
      <c r="D9">
        <v>0.24</v>
      </c>
      <c r="E9">
        <v>42240000000</v>
      </c>
      <c r="F9">
        <v>1610000000</v>
      </c>
      <c r="G9">
        <v>579700000</v>
      </c>
      <c r="H9">
        <f>Sheet1[[#This Row],[Volume (24h)]]/Sheet1[[#This Row],[Circulating Supply]]</f>
        <v>2.7772986027255477</v>
      </c>
      <c r="I9">
        <f>RANK(Sheet1[[#This Row],[Market Cap]],Sheet1[Market Cap],0)</f>
        <v>7</v>
      </c>
      <c r="J9" t="str">
        <f t="shared" si="0"/>
        <v>0-0.5</v>
      </c>
    </row>
    <row r="10" spans="1:10" x14ac:dyDescent="0.3">
      <c r="A10" t="s">
        <v>20</v>
      </c>
      <c r="B10" t="s">
        <v>21</v>
      </c>
      <c r="C10">
        <v>0.32579999999999998</v>
      </c>
      <c r="D10">
        <v>0.03</v>
      </c>
      <c r="E10">
        <v>30910000000</v>
      </c>
      <c r="F10">
        <v>473310000</v>
      </c>
      <c r="G10">
        <v>94880000000</v>
      </c>
      <c r="H10">
        <f>Sheet1[[#This Row],[Volume (24h)]]/Sheet1[[#This Row],[Circulating Supply]]</f>
        <v>4.9885118043844854E-3</v>
      </c>
      <c r="I10">
        <f>RANK(Sheet1[[#This Row],[Market Cap]],Sheet1[Market Cap],0)</f>
        <v>8</v>
      </c>
      <c r="J10" t="str">
        <f t="shared" si="0"/>
        <v>0-0.5</v>
      </c>
    </row>
    <row r="11" spans="1:10" x14ac:dyDescent="0.3">
      <c r="A11" t="s">
        <v>22</v>
      </c>
      <c r="B11" t="s">
        <v>23</v>
      </c>
      <c r="C11">
        <v>52.77</v>
      </c>
      <c r="D11">
        <v>0.92</v>
      </c>
      <c r="E11">
        <v>13320000000</v>
      </c>
      <c r="F11">
        <v>385760000</v>
      </c>
      <c r="G11">
        <v>252490000</v>
      </c>
      <c r="H11">
        <f>Sheet1[[#This Row],[Volume (24h)]]/Sheet1[[#This Row],[Circulating Supply]]</f>
        <v>1.5278228840746169</v>
      </c>
      <c r="I11">
        <f>RANK(Sheet1[[#This Row],[Market Cap]],Sheet1[Market Cap],0)</f>
        <v>9</v>
      </c>
      <c r="J11" t="str">
        <f t="shared" si="0"/>
        <v>0-0.5</v>
      </c>
    </row>
    <row r="12" spans="1:10" x14ac:dyDescent="0.3">
      <c r="A12" t="s">
        <v>24</v>
      </c>
      <c r="B12" t="s">
        <v>25</v>
      </c>
      <c r="C12">
        <v>6.9400000000000003E-2</v>
      </c>
      <c r="D12">
        <v>0.41</v>
      </c>
      <c r="E12">
        <v>10780000000</v>
      </c>
      <c r="F12">
        <v>572720000</v>
      </c>
      <c r="G12">
        <v>155300000000</v>
      </c>
      <c r="H12">
        <f>Sheet1[[#This Row],[Volume (24h)]]/Sheet1[[#This Row],[Circulating Supply]]</f>
        <v>3.68783000643915E-3</v>
      </c>
      <c r="I12">
        <f>RANK(Sheet1[[#This Row],[Market Cap]],Sheet1[Market Cap],0)</f>
        <v>10</v>
      </c>
      <c r="J12" t="str">
        <f t="shared" si="0"/>
        <v>0-0.5</v>
      </c>
    </row>
    <row r="13" spans="1:10" x14ac:dyDescent="0.3">
      <c r="A13" t="s">
        <v>26</v>
      </c>
      <c r="B13" t="s">
        <v>27</v>
      </c>
      <c r="C13">
        <v>9.75</v>
      </c>
      <c r="D13">
        <v>0</v>
      </c>
      <c r="E13">
        <v>8970000000</v>
      </c>
      <c r="F13">
        <v>515230</v>
      </c>
      <c r="G13">
        <v>920070000</v>
      </c>
      <c r="H13">
        <f>Sheet1[[#This Row],[Volume (24h)]]/Sheet1[[#This Row],[Circulating Supply]]</f>
        <v>5.5999000076081167E-4</v>
      </c>
      <c r="I13">
        <f>RANK(Sheet1[[#This Row],[Market Cap]],Sheet1[Market Cap],0)</f>
        <v>11</v>
      </c>
      <c r="J13" t="str">
        <f t="shared" si="0"/>
        <v>0-0.5</v>
      </c>
    </row>
    <row r="14" spans="1:10" x14ac:dyDescent="0.3">
      <c r="A14" t="s">
        <v>28</v>
      </c>
      <c r="B14" t="s">
        <v>29</v>
      </c>
      <c r="C14">
        <v>455.74</v>
      </c>
      <c r="D14">
        <v>0.22</v>
      </c>
      <c r="E14">
        <v>7650000000</v>
      </c>
      <c r="F14">
        <v>285310000</v>
      </c>
      <c r="G14">
        <v>16790000</v>
      </c>
      <c r="H14">
        <f>Sheet1[[#This Row],[Volume (24h)]]/Sheet1[[#This Row],[Circulating Supply]]</f>
        <v>16.992852888624181</v>
      </c>
      <c r="I14">
        <f>RANK(Sheet1[[#This Row],[Market Cap]],Sheet1[Market Cap],0)</f>
        <v>14</v>
      </c>
      <c r="J14" t="str">
        <f t="shared" si="0"/>
        <v>0-0.5</v>
      </c>
    </row>
    <row r="15" spans="1:10" x14ac:dyDescent="0.3">
      <c r="A15" t="s">
        <v>30</v>
      </c>
      <c r="B15" t="s">
        <v>31</v>
      </c>
      <c r="C15">
        <v>354.89</v>
      </c>
      <c r="D15">
        <v>0.57999999999999996</v>
      </c>
      <c r="E15">
        <v>6660000000</v>
      </c>
      <c r="F15">
        <v>93100000</v>
      </c>
      <c r="G15">
        <v>18780000</v>
      </c>
      <c r="H15">
        <f>Sheet1[[#This Row],[Volume (24h)]]/Sheet1[[#This Row],[Circulating Supply]]</f>
        <v>4.9574014909478166</v>
      </c>
      <c r="I15">
        <f>RANK(Sheet1[[#This Row],[Market Cap]],Sheet1[Market Cap],0)</f>
        <v>15</v>
      </c>
      <c r="J15" t="str">
        <f t="shared" si="0"/>
        <v>0-0.5</v>
      </c>
    </row>
    <row r="16" spans="1:10" x14ac:dyDescent="0.3">
      <c r="A16" t="s">
        <v>32</v>
      </c>
      <c r="B16" t="s">
        <v>33</v>
      </c>
      <c r="C16">
        <v>0.16869999999999999</v>
      </c>
      <c r="D16">
        <v>0.85</v>
      </c>
      <c r="E16">
        <v>6160000000</v>
      </c>
      <c r="F16">
        <v>318820000</v>
      </c>
      <c r="G16">
        <v>36500000000</v>
      </c>
      <c r="H16">
        <f>Sheet1[[#This Row],[Volume (24h)]]/Sheet1[[#This Row],[Circulating Supply]]</f>
        <v>8.7347945205479456E-3</v>
      </c>
      <c r="I16">
        <f>RANK(Sheet1[[#This Row],[Market Cap]],Sheet1[Market Cap],0)</f>
        <v>16</v>
      </c>
      <c r="J16" t="str">
        <f t="shared" si="0"/>
        <v>0-0.5</v>
      </c>
    </row>
    <row r="17" spans="1:10" x14ac:dyDescent="0.3">
      <c r="A17" t="s">
        <v>34</v>
      </c>
      <c r="B17" t="s">
        <v>35</v>
      </c>
      <c r="C17">
        <v>0.7379</v>
      </c>
      <c r="D17">
        <v>0.2</v>
      </c>
      <c r="E17">
        <v>268070000</v>
      </c>
      <c r="F17">
        <v>28930000</v>
      </c>
      <c r="G17">
        <v>363280000</v>
      </c>
      <c r="H17">
        <f>Sheet1[[#This Row],[Volume (24h)]]/Sheet1[[#This Row],[Circulating Supply]]</f>
        <v>7.9635542831975339E-2</v>
      </c>
      <c r="I17">
        <f>RANK(Sheet1[[#This Row],[Market Cap]],Sheet1[Market Cap],0)</f>
        <v>29</v>
      </c>
      <c r="J17" t="str">
        <f t="shared" si="0"/>
        <v>0-0.5</v>
      </c>
    </row>
    <row r="18" spans="1:10" x14ac:dyDescent="0.3">
      <c r="A18" t="s">
        <v>36</v>
      </c>
      <c r="B18" t="s">
        <v>37</v>
      </c>
      <c r="C18">
        <v>6.2700000000000006E-2</v>
      </c>
      <c r="D18">
        <v>0.82</v>
      </c>
      <c r="E18">
        <v>266440000</v>
      </c>
      <c r="F18">
        <v>6580000</v>
      </c>
      <c r="G18">
        <v>990100000000000</v>
      </c>
      <c r="H18">
        <f>Sheet1[[#This Row],[Volume (24h)]]/Sheet1[[#This Row],[Circulating Supply]]</f>
        <v>6.6457933542066459E-9</v>
      </c>
      <c r="I18">
        <f>RANK(Sheet1[[#This Row],[Market Cap]],Sheet1[Market Cap],0)</f>
        <v>30</v>
      </c>
      <c r="J18" t="str">
        <f t="shared" si="0"/>
        <v>0-0.5</v>
      </c>
    </row>
    <row r="19" spans="1:10" x14ac:dyDescent="0.3">
      <c r="A19" t="s">
        <v>38</v>
      </c>
      <c r="B19" t="s">
        <v>39</v>
      </c>
      <c r="C19">
        <v>6.2600000000000003E-2</v>
      </c>
      <c r="D19">
        <v>0.18</v>
      </c>
      <c r="E19">
        <v>258040000</v>
      </c>
      <c r="F19">
        <v>4450000</v>
      </c>
      <c r="G19">
        <v>987030000000000</v>
      </c>
      <c r="H19">
        <f>Sheet1[[#This Row],[Volume (24h)]]/Sheet1[[#This Row],[Circulating Supply]]</f>
        <v>4.5084749197086209E-9</v>
      </c>
      <c r="I19">
        <f>RANK(Sheet1[[#This Row],[Market Cap]],Sheet1[Market Cap],0)</f>
        <v>32</v>
      </c>
      <c r="J19" t="str">
        <f t="shared" si="0"/>
        <v>100-10000</v>
      </c>
    </row>
    <row r="20" spans="1:10" x14ac:dyDescent="0.3">
      <c r="A20" t="s">
        <v>40</v>
      </c>
      <c r="B20" t="s">
        <v>40</v>
      </c>
      <c r="C20">
        <v>1.05</v>
      </c>
      <c r="D20">
        <v>1.45</v>
      </c>
      <c r="E20">
        <v>255660000</v>
      </c>
      <c r="F20">
        <v>53800000</v>
      </c>
      <c r="G20">
        <v>241380000</v>
      </c>
      <c r="H20">
        <f>Sheet1[[#This Row],[Volume (24h)]]/Sheet1[[#This Row],[Circulating Supply]]</f>
        <v>0.22288507747120723</v>
      </c>
      <c r="I20">
        <f>RANK(Sheet1[[#This Row],[Market Cap]],Sheet1[Market Cap],0)</f>
        <v>33</v>
      </c>
      <c r="J20" t="str">
        <f t="shared" si="0"/>
        <v>10-100</v>
      </c>
    </row>
    <row r="21" spans="1:10" x14ac:dyDescent="0.3">
      <c r="A21" t="s">
        <v>41</v>
      </c>
      <c r="B21" t="s">
        <v>42</v>
      </c>
      <c r="C21">
        <v>0.50609999999999999</v>
      </c>
      <c r="D21">
        <v>0.46</v>
      </c>
      <c r="E21">
        <v>255370000</v>
      </c>
      <c r="F21">
        <v>25600000</v>
      </c>
      <c r="G21">
        <v>504560000</v>
      </c>
      <c r="H21">
        <f>Sheet1[[#This Row],[Volume (24h)]]/Sheet1[[#This Row],[Circulating Supply]]</f>
        <v>5.0737276042492466E-2</v>
      </c>
      <c r="I21">
        <f>RANK(Sheet1[[#This Row],[Market Cap]],Sheet1[Market Cap],0)</f>
        <v>34</v>
      </c>
      <c r="J21" t="str">
        <f t="shared" si="0"/>
        <v>10-100</v>
      </c>
    </row>
    <row r="22" spans="1:10" x14ac:dyDescent="0.3">
      <c r="A22" t="s">
        <v>43</v>
      </c>
      <c r="B22" t="s">
        <v>44</v>
      </c>
      <c r="C22">
        <v>12.58</v>
      </c>
      <c r="D22">
        <v>0.47</v>
      </c>
      <c r="E22">
        <v>252500000</v>
      </c>
      <c r="F22">
        <v>8450000</v>
      </c>
      <c r="G22">
        <v>20060000</v>
      </c>
      <c r="H22">
        <f>Sheet1[[#This Row],[Volume (24h)]]/Sheet1[[#This Row],[Circulating Supply]]</f>
        <v>0.42123629112662014</v>
      </c>
      <c r="I22">
        <f>RANK(Sheet1[[#This Row],[Market Cap]],Sheet1[Market Cap],0)</f>
        <v>35</v>
      </c>
      <c r="J22" t="str">
        <f t="shared" si="0"/>
        <v>0-0.5</v>
      </c>
    </row>
    <row r="23" spans="1:10" x14ac:dyDescent="0.3">
      <c r="A23" t="s">
        <v>45</v>
      </c>
      <c r="B23" t="s">
        <v>46</v>
      </c>
      <c r="C23">
        <v>0.13880000000000001</v>
      </c>
      <c r="D23">
        <v>0.4</v>
      </c>
      <c r="E23">
        <v>251970000</v>
      </c>
      <c r="F23">
        <v>4730000</v>
      </c>
      <c r="G23">
        <v>1810000000</v>
      </c>
      <c r="H23">
        <f>Sheet1[[#This Row],[Volume (24h)]]/Sheet1[[#This Row],[Circulating Supply]]</f>
        <v>2.6132596685082871E-3</v>
      </c>
      <c r="I23">
        <f>RANK(Sheet1[[#This Row],[Market Cap]],Sheet1[Market Cap],0)</f>
        <v>36</v>
      </c>
      <c r="J23" t="str">
        <f t="shared" si="0"/>
        <v>100-10000</v>
      </c>
    </row>
    <row r="24" spans="1:10" x14ac:dyDescent="0.3">
      <c r="A24" t="s">
        <v>47</v>
      </c>
      <c r="B24" t="s">
        <v>48</v>
      </c>
      <c r="C24">
        <v>1.44</v>
      </c>
      <c r="D24">
        <v>0.39</v>
      </c>
      <c r="E24">
        <v>247330000</v>
      </c>
      <c r="F24">
        <v>24390000</v>
      </c>
      <c r="G24">
        <v>171750000</v>
      </c>
      <c r="H24">
        <f>Sheet1[[#This Row],[Volume (24h)]]/Sheet1[[#This Row],[Circulating Supply]]</f>
        <v>0.14200873362445415</v>
      </c>
      <c r="I24">
        <f>RANK(Sheet1[[#This Row],[Market Cap]],Sheet1[Market Cap],0)</f>
        <v>37</v>
      </c>
      <c r="J24" t="str">
        <f t="shared" si="0"/>
        <v>100-10000</v>
      </c>
    </row>
    <row r="25" spans="1:10" x14ac:dyDescent="0.3">
      <c r="A25" t="s">
        <v>49</v>
      </c>
      <c r="B25" t="s">
        <v>50</v>
      </c>
      <c r="C25">
        <v>2.07E-2</v>
      </c>
      <c r="D25">
        <v>0.02</v>
      </c>
      <c r="E25">
        <v>244880000</v>
      </c>
      <c r="F25">
        <v>14140000</v>
      </c>
      <c r="G25">
        <v>11820000000</v>
      </c>
      <c r="H25">
        <f>Sheet1[[#This Row],[Volume (24h)]]/Sheet1[[#This Row],[Circulating Supply]]</f>
        <v>1.1962774957698815E-3</v>
      </c>
      <c r="I25">
        <f>RANK(Sheet1[[#This Row],[Market Cap]],Sheet1[Market Cap],0)</f>
        <v>38</v>
      </c>
      <c r="J25" t="str">
        <f t="shared" si="0"/>
        <v>0-0.5</v>
      </c>
    </row>
    <row r="26" spans="1:10" x14ac:dyDescent="0.3">
      <c r="A26" t="s">
        <v>51</v>
      </c>
      <c r="B26" t="s">
        <v>52</v>
      </c>
      <c r="C26">
        <v>5.28E-2</v>
      </c>
      <c r="D26">
        <v>0.42</v>
      </c>
      <c r="E26">
        <v>244180000</v>
      </c>
      <c r="F26">
        <v>33610000</v>
      </c>
      <c r="G26">
        <v>87990000000000</v>
      </c>
      <c r="H26">
        <f>Sheet1[[#This Row],[Volume (24h)]]/Sheet1[[#This Row],[Circulating Supply]]</f>
        <v>3.819752244573247E-7</v>
      </c>
      <c r="I26">
        <f>RANK(Sheet1[[#This Row],[Market Cap]],Sheet1[Market Cap],0)</f>
        <v>39</v>
      </c>
      <c r="J26" t="str">
        <f t="shared" si="0"/>
        <v>0-0.5</v>
      </c>
    </row>
    <row r="27" spans="1:10" x14ac:dyDescent="0.3">
      <c r="A27" t="s">
        <v>53</v>
      </c>
      <c r="B27" t="s">
        <v>54</v>
      </c>
      <c r="C27">
        <v>13.16</v>
      </c>
      <c r="D27">
        <v>0.13</v>
      </c>
      <c r="E27">
        <v>230930000</v>
      </c>
      <c r="F27">
        <v>3640000</v>
      </c>
      <c r="G27">
        <v>17530000</v>
      </c>
      <c r="H27">
        <f>Sheet1[[#This Row],[Volume (24h)]]/Sheet1[[#This Row],[Circulating Supply]]</f>
        <v>0.20764403879064461</v>
      </c>
      <c r="I27">
        <f>RANK(Sheet1[[#This Row],[Market Cap]],Sheet1[Market Cap],0)</f>
        <v>40</v>
      </c>
      <c r="J27" t="str">
        <f t="shared" si="0"/>
        <v>0-0.5</v>
      </c>
    </row>
    <row r="28" spans="1:10" x14ac:dyDescent="0.3">
      <c r="A28" t="s">
        <v>55</v>
      </c>
      <c r="B28" t="s">
        <v>56</v>
      </c>
      <c r="C28">
        <v>4.2799999999999998E-2</v>
      </c>
      <c r="D28">
        <v>0.84</v>
      </c>
      <c r="E28">
        <v>223520000</v>
      </c>
      <c r="F28">
        <v>87220000</v>
      </c>
      <c r="G28">
        <v>5220000000</v>
      </c>
      <c r="H28">
        <f>Sheet1[[#This Row],[Volume (24h)]]/Sheet1[[#This Row],[Circulating Supply]]</f>
        <v>1.6708812260536398E-2</v>
      </c>
      <c r="I28">
        <f>RANK(Sheet1[[#This Row],[Market Cap]],Sheet1[Market Cap],0)</f>
        <v>41</v>
      </c>
      <c r="J28" t="str">
        <f t="shared" si="0"/>
        <v>0-0.5</v>
      </c>
    </row>
    <row r="29" spans="1:10" x14ac:dyDescent="0.3">
      <c r="A29" t="s">
        <v>57</v>
      </c>
      <c r="B29" t="s">
        <v>58</v>
      </c>
      <c r="C29">
        <v>0.20019999999999999</v>
      </c>
      <c r="D29">
        <v>0.34</v>
      </c>
      <c r="E29">
        <v>218720000</v>
      </c>
      <c r="F29">
        <v>4940000</v>
      </c>
      <c r="G29">
        <v>1090000000</v>
      </c>
      <c r="H29">
        <f>Sheet1[[#This Row],[Volume (24h)]]/Sheet1[[#This Row],[Circulating Supply]]</f>
        <v>4.532110091743119E-3</v>
      </c>
      <c r="I29">
        <f>RANK(Sheet1[[#This Row],[Market Cap]],Sheet1[Market Cap],0)</f>
        <v>42</v>
      </c>
      <c r="J29" t="str">
        <f t="shared" si="0"/>
        <v>0-0.5</v>
      </c>
    </row>
    <row r="30" spans="1:10" x14ac:dyDescent="0.3">
      <c r="A30" t="s">
        <v>59</v>
      </c>
      <c r="B30" t="s">
        <v>60</v>
      </c>
      <c r="C30">
        <v>4.3E-3</v>
      </c>
      <c r="D30">
        <v>0.92</v>
      </c>
      <c r="E30">
        <v>212680000</v>
      </c>
      <c r="F30">
        <v>7320000</v>
      </c>
      <c r="G30">
        <v>49440000000</v>
      </c>
      <c r="H30">
        <f>Sheet1[[#This Row],[Volume (24h)]]/Sheet1[[#This Row],[Circulating Supply]]</f>
        <v>1.4805825242718447E-4</v>
      </c>
      <c r="I30">
        <f>RANK(Sheet1[[#This Row],[Market Cap]],Sheet1[Market Cap],0)</f>
        <v>43</v>
      </c>
      <c r="J30" t="str">
        <f t="shared" si="0"/>
        <v>0-0.5</v>
      </c>
    </row>
    <row r="31" spans="1:10" x14ac:dyDescent="0.3">
      <c r="A31" t="s">
        <v>61</v>
      </c>
      <c r="B31" t="s">
        <v>62</v>
      </c>
      <c r="C31">
        <v>0.1062</v>
      </c>
      <c r="D31">
        <v>0.19</v>
      </c>
      <c r="E31">
        <v>212500000</v>
      </c>
      <c r="F31">
        <v>10400000</v>
      </c>
      <c r="G31">
        <v>2000000000</v>
      </c>
      <c r="H31">
        <f>Sheet1[[#This Row],[Volume (24h)]]/Sheet1[[#This Row],[Circulating Supply]]</f>
        <v>5.1999999999999998E-3</v>
      </c>
      <c r="I31">
        <f>RANK(Sheet1[[#This Row],[Market Cap]],Sheet1[Market Cap],0)</f>
        <v>44</v>
      </c>
      <c r="J31" t="str">
        <f t="shared" si="0"/>
        <v>0-0.5</v>
      </c>
    </row>
    <row r="32" spans="1:10" x14ac:dyDescent="0.3">
      <c r="A32" t="s">
        <v>63</v>
      </c>
      <c r="B32" t="s">
        <v>64</v>
      </c>
      <c r="C32">
        <v>1.2699999999999999E-2</v>
      </c>
      <c r="D32">
        <v>0.02</v>
      </c>
      <c r="E32">
        <v>8850000000</v>
      </c>
      <c r="F32">
        <v>27530000</v>
      </c>
      <c r="G32">
        <v>694570000000</v>
      </c>
      <c r="H32">
        <f>Sheet1[[#This Row],[Volume (24h)]]/Sheet1[[#This Row],[Circulating Supply]]</f>
        <v>3.963603380508804E-5</v>
      </c>
      <c r="I32">
        <f>RANK(Sheet1[[#This Row],[Market Cap]],Sheet1[Market Cap],0)</f>
        <v>12</v>
      </c>
      <c r="J32" t="str">
        <f t="shared" si="0"/>
        <v>0-0.5</v>
      </c>
    </row>
    <row r="33" spans="1:10" x14ac:dyDescent="0.3">
      <c r="A33" t="s">
        <v>65</v>
      </c>
      <c r="B33" t="s">
        <v>66</v>
      </c>
      <c r="C33">
        <v>0.7339</v>
      </c>
      <c r="D33">
        <v>1.1299999999999999</v>
      </c>
      <c r="E33">
        <v>8160000000</v>
      </c>
      <c r="F33">
        <v>236610</v>
      </c>
      <c r="G33">
        <v>11120000000</v>
      </c>
      <c r="H33">
        <f>Sheet1[[#This Row],[Volume (24h)]]/Sheet1[[#This Row],[Circulating Supply]]</f>
        <v>2.1277877697841726E-5</v>
      </c>
      <c r="I33">
        <f>RANK(Sheet1[[#This Row],[Market Cap]],Sheet1[Market Cap],0)</f>
        <v>13</v>
      </c>
      <c r="J33" t="str">
        <f t="shared" si="0"/>
        <v>0-0.5</v>
      </c>
    </row>
    <row r="34" spans="1:10" x14ac:dyDescent="0.3">
      <c r="A34" t="s">
        <v>67</v>
      </c>
      <c r="B34" t="s">
        <v>68</v>
      </c>
      <c r="C34">
        <v>1.1399999999999999</v>
      </c>
      <c r="D34">
        <v>0</v>
      </c>
      <c r="E34">
        <v>2150000000</v>
      </c>
      <c r="F34">
        <v>540150</v>
      </c>
      <c r="G34">
        <v>1880000000</v>
      </c>
      <c r="H34">
        <f>Sheet1[[#This Row],[Volume (24h)]]/Sheet1[[#This Row],[Circulating Supply]]</f>
        <v>2.8731382978723402E-4</v>
      </c>
      <c r="I34">
        <f>RANK(Sheet1[[#This Row],[Market Cap]],Sheet1[Market Cap],0)</f>
        <v>17</v>
      </c>
      <c r="J34" t="str">
        <f t="shared" si="0"/>
        <v>0-0.5</v>
      </c>
    </row>
    <row r="35" spans="1:10" x14ac:dyDescent="0.3">
      <c r="A35" t="s">
        <v>69</v>
      </c>
      <c r="B35" t="s">
        <v>69</v>
      </c>
      <c r="C35">
        <v>5.1799999999999999E-2</v>
      </c>
      <c r="D35">
        <v>0.03</v>
      </c>
      <c r="E35">
        <v>1590000000</v>
      </c>
      <c r="F35">
        <v>36270000</v>
      </c>
      <c r="G35">
        <v>898230000000000</v>
      </c>
      <c r="H35">
        <f>Sheet1[[#This Row],[Volume (24h)]]/Sheet1[[#This Row],[Circulating Supply]]</f>
        <v>4.037941284526235E-8</v>
      </c>
      <c r="I35">
        <f>RANK(Sheet1[[#This Row],[Market Cap]],Sheet1[Market Cap],0)</f>
        <v>18</v>
      </c>
      <c r="J35" t="str">
        <f t="shared" si="0"/>
        <v>100-10000</v>
      </c>
    </row>
    <row r="36" spans="1:10" x14ac:dyDescent="0.3">
      <c r="A36" t="s">
        <v>70</v>
      </c>
      <c r="B36" t="s">
        <v>71</v>
      </c>
      <c r="C36">
        <v>0.99519999999999997</v>
      </c>
      <c r="D36">
        <v>0.06</v>
      </c>
      <c r="E36">
        <v>1250000000</v>
      </c>
      <c r="F36">
        <v>587510</v>
      </c>
      <c r="G36">
        <v>1260000000</v>
      </c>
      <c r="H36">
        <f>Sheet1[[#This Row],[Volume (24h)]]/Sheet1[[#This Row],[Circulating Supply]]</f>
        <v>4.6627777777777775E-4</v>
      </c>
      <c r="I36">
        <f>RANK(Sheet1[[#This Row],[Market Cap]],Sheet1[Market Cap],0)</f>
        <v>19</v>
      </c>
      <c r="J36" t="str">
        <f t="shared" si="0"/>
        <v>0-0.5</v>
      </c>
    </row>
    <row r="37" spans="1:10" x14ac:dyDescent="0.3">
      <c r="A37" t="s">
        <v>72</v>
      </c>
      <c r="B37" t="s">
        <v>72</v>
      </c>
      <c r="C37">
        <v>1</v>
      </c>
      <c r="D37">
        <v>0.01</v>
      </c>
      <c r="E37">
        <v>1110000000</v>
      </c>
      <c r="F37">
        <v>14040000</v>
      </c>
      <c r="G37">
        <v>1110000000</v>
      </c>
      <c r="H37">
        <f>Sheet1[[#This Row],[Volume (24h)]]/Sheet1[[#This Row],[Circulating Supply]]</f>
        <v>1.2648648648648649E-2</v>
      </c>
      <c r="I37">
        <f>RANK(Sheet1[[#This Row],[Market Cap]],Sheet1[Market Cap],0)</f>
        <v>20</v>
      </c>
      <c r="J37" t="str">
        <f t="shared" si="0"/>
        <v>0-0.5</v>
      </c>
    </row>
    <row r="38" spans="1:10" x14ac:dyDescent="0.3">
      <c r="A38" t="s">
        <v>73</v>
      </c>
      <c r="B38" t="s">
        <v>74</v>
      </c>
      <c r="C38">
        <v>0.1946</v>
      </c>
      <c r="D38">
        <v>1.1399999999999999</v>
      </c>
      <c r="E38">
        <v>867730000</v>
      </c>
      <c r="F38">
        <v>14480000</v>
      </c>
      <c r="G38">
        <v>4450000000</v>
      </c>
      <c r="H38">
        <f>Sheet1[[#This Row],[Volume (24h)]]/Sheet1[[#This Row],[Circulating Supply]]</f>
        <v>3.2539325842696628E-3</v>
      </c>
      <c r="I38">
        <f>RANK(Sheet1[[#This Row],[Market Cap]],Sheet1[Market Cap],0)</f>
        <v>21</v>
      </c>
      <c r="J38" t="str">
        <f t="shared" si="0"/>
        <v>0-0.5</v>
      </c>
    </row>
    <row r="39" spans="1:10" x14ac:dyDescent="0.3">
      <c r="A39" t="s">
        <v>75</v>
      </c>
      <c r="B39" t="s">
        <v>76</v>
      </c>
      <c r="C39">
        <v>3.55</v>
      </c>
      <c r="D39">
        <v>0.1</v>
      </c>
      <c r="E39">
        <v>797050000</v>
      </c>
      <c r="F39">
        <v>2130000</v>
      </c>
      <c r="G39">
        <v>224060000</v>
      </c>
      <c r="H39">
        <f>Sheet1[[#This Row],[Volume (24h)]]/Sheet1[[#This Row],[Circulating Supply]]</f>
        <v>9.5063822190484693E-3</v>
      </c>
      <c r="I39">
        <f>RANK(Sheet1[[#This Row],[Market Cap]],Sheet1[Market Cap],0)</f>
        <v>22</v>
      </c>
      <c r="J39" t="str">
        <f t="shared" si="0"/>
        <v>0-0.5</v>
      </c>
    </row>
    <row r="40" spans="1:10" x14ac:dyDescent="0.3">
      <c r="A40" t="s">
        <v>77</v>
      </c>
      <c r="B40" t="s">
        <v>78</v>
      </c>
      <c r="C40">
        <v>8.2500000000000004E-2</v>
      </c>
      <c r="D40">
        <v>0.08</v>
      </c>
      <c r="E40">
        <v>649330000</v>
      </c>
      <c r="F40">
        <v>11920000</v>
      </c>
      <c r="G40">
        <v>7860000000</v>
      </c>
      <c r="H40">
        <f>Sheet1[[#This Row],[Volume (24h)]]/Sheet1[[#This Row],[Circulating Supply]]</f>
        <v>1.5165394402035623E-3</v>
      </c>
      <c r="I40">
        <f>RANK(Sheet1[[#This Row],[Market Cap]],Sheet1[Market Cap],0)</f>
        <v>23</v>
      </c>
      <c r="J40" t="str">
        <f t="shared" si="0"/>
        <v>0-0.5</v>
      </c>
    </row>
    <row r="41" spans="1:10" x14ac:dyDescent="0.3">
      <c r="A41" t="s">
        <v>79</v>
      </c>
      <c r="B41" t="s">
        <v>79</v>
      </c>
      <c r="C41">
        <v>0.99829999999999997</v>
      </c>
      <c r="D41">
        <v>0.01</v>
      </c>
      <c r="E41">
        <v>647910000</v>
      </c>
      <c r="F41">
        <v>1350000</v>
      </c>
      <c r="G41">
        <v>649000000</v>
      </c>
      <c r="H41">
        <f>Sheet1[[#This Row],[Volume (24h)]]/Sheet1[[#This Row],[Circulating Supply]]</f>
        <v>2.0801232665639447E-3</v>
      </c>
      <c r="I41">
        <f>RANK(Sheet1[[#This Row],[Market Cap]],Sheet1[Market Cap],0)</f>
        <v>24</v>
      </c>
      <c r="J41" t="str">
        <f t="shared" si="0"/>
        <v>10-100</v>
      </c>
    </row>
    <row r="42" spans="1:10" x14ac:dyDescent="0.3">
      <c r="A42" t="s">
        <v>80</v>
      </c>
      <c r="B42" t="s">
        <v>81</v>
      </c>
      <c r="C42">
        <v>0.99929999999999997</v>
      </c>
      <c r="D42">
        <v>0</v>
      </c>
      <c r="E42">
        <v>556020000</v>
      </c>
      <c r="F42">
        <v>36490</v>
      </c>
      <c r="G42">
        <v>556380000</v>
      </c>
      <c r="H42">
        <f>Sheet1[[#This Row],[Volume (24h)]]/Sheet1[[#This Row],[Circulating Supply]]</f>
        <v>6.5584672346238188E-5</v>
      </c>
      <c r="I42">
        <f>RANK(Sheet1[[#This Row],[Market Cap]],Sheet1[Market Cap],0)</f>
        <v>25</v>
      </c>
      <c r="J42" t="str">
        <f t="shared" si="0"/>
        <v>0-0.5</v>
      </c>
    </row>
    <row r="43" spans="1:10" x14ac:dyDescent="0.3">
      <c r="A43" t="s">
        <v>82</v>
      </c>
      <c r="B43" t="s">
        <v>83</v>
      </c>
      <c r="C43">
        <v>1</v>
      </c>
      <c r="D43">
        <v>0.02</v>
      </c>
      <c r="E43">
        <v>518340000</v>
      </c>
      <c r="F43">
        <v>23780000</v>
      </c>
      <c r="G43">
        <v>517030000</v>
      </c>
      <c r="H43">
        <f>Sheet1[[#This Row],[Volume (24h)]]/Sheet1[[#This Row],[Circulating Supply]]</f>
        <v>4.5993462661741098E-2</v>
      </c>
      <c r="I43">
        <f>RANK(Sheet1[[#This Row],[Market Cap]],Sheet1[Market Cap],0)</f>
        <v>26</v>
      </c>
      <c r="J43" t="str">
        <f t="shared" si="0"/>
        <v>0-0.5</v>
      </c>
    </row>
    <row r="44" spans="1:10" x14ac:dyDescent="0.3">
      <c r="A44" t="s">
        <v>84</v>
      </c>
      <c r="B44" t="s">
        <v>85</v>
      </c>
      <c r="C44">
        <v>0.99950000000000006</v>
      </c>
      <c r="D44">
        <v>0.01</v>
      </c>
      <c r="E44">
        <v>501100000</v>
      </c>
      <c r="F44">
        <v>5610</v>
      </c>
      <c r="G44">
        <v>501350000</v>
      </c>
      <c r="H44">
        <f>Sheet1[[#This Row],[Volume (24h)]]/Sheet1[[#This Row],[Circulating Supply]]</f>
        <v>1.1189787573551411E-5</v>
      </c>
      <c r="I44">
        <f>RANK(Sheet1[[#This Row],[Market Cap]],Sheet1[Market Cap],0)</f>
        <v>27</v>
      </c>
      <c r="J44" t="str">
        <f t="shared" si="0"/>
        <v>10-100</v>
      </c>
    </row>
    <row r="45" spans="1:10" x14ac:dyDescent="0.3">
      <c r="A45" t="s">
        <v>86</v>
      </c>
      <c r="B45" t="s">
        <v>87</v>
      </c>
      <c r="C45">
        <v>0.15809999999999999</v>
      </c>
      <c r="D45">
        <v>0.16</v>
      </c>
      <c r="E45">
        <v>395370000</v>
      </c>
      <c r="F45">
        <v>14190000</v>
      </c>
      <c r="G45">
        <v>2500000000</v>
      </c>
      <c r="H45">
        <f>Sheet1[[#This Row],[Volume (24h)]]/Sheet1[[#This Row],[Circulating Supply]]</f>
        <v>5.6759999999999996E-3</v>
      </c>
      <c r="I45">
        <f>RANK(Sheet1[[#This Row],[Market Cap]],Sheet1[Market Cap],0)</f>
        <v>28</v>
      </c>
      <c r="J45" t="str">
        <f t="shared" si="0"/>
        <v>0-0.5</v>
      </c>
    </row>
    <row r="46" spans="1:10" x14ac:dyDescent="0.3">
      <c r="A46" t="s">
        <v>88</v>
      </c>
      <c r="B46" t="s">
        <v>89</v>
      </c>
      <c r="C46">
        <v>5.9999999999999995E-4</v>
      </c>
      <c r="D46">
        <v>0.02</v>
      </c>
      <c r="E46">
        <v>260640000</v>
      </c>
      <c r="F46">
        <v>917.45</v>
      </c>
      <c r="G46">
        <v>414400000000</v>
      </c>
      <c r="H46">
        <f>Sheet1[[#This Row],[Volume (24h)]]/Sheet1[[#This Row],[Circulating Supply]]</f>
        <v>2.2139237451737453E-9</v>
      </c>
      <c r="I46">
        <f>RANK(Sheet1[[#This Row],[Market Cap]],Sheet1[Market Cap],0)</f>
        <v>31</v>
      </c>
      <c r="J46" t="str">
        <f t="shared" si="0"/>
        <v>0-0.5</v>
      </c>
    </row>
    <row r="47" spans="1:10" x14ac:dyDescent="0.3">
      <c r="A47" t="s">
        <v>90</v>
      </c>
      <c r="B47" t="s">
        <v>91</v>
      </c>
      <c r="C47">
        <v>3.5999999999999999E-3</v>
      </c>
      <c r="D47">
        <v>0.11</v>
      </c>
      <c r="E47">
        <v>58580000</v>
      </c>
      <c r="F47">
        <v>2210000</v>
      </c>
      <c r="G47">
        <v>16380000000</v>
      </c>
      <c r="H47">
        <f>Sheet1[[#This Row],[Volume (24h)]]/Sheet1[[#This Row],[Circulating Supply]]</f>
        <v>1.3492063492063491E-4</v>
      </c>
      <c r="I47">
        <f>RANK(Sheet1[[#This Row],[Market Cap]],Sheet1[Market Cap],0)</f>
        <v>45</v>
      </c>
      <c r="J47" t="str">
        <f t="shared" si="0"/>
        <v>10-100</v>
      </c>
    </row>
    <row r="48" spans="1:10" x14ac:dyDescent="0.3">
      <c r="A48" t="s">
        <v>92</v>
      </c>
      <c r="B48" t="s">
        <v>93</v>
      </c>
      <c r="C48">
        <v>0.42949999999999999</v>
      </c>
      <c r="D48">
        <v>0.59</v>
      </c>
      <c r="E48">
        <v>58250000</v>
      </c>
      <c r="F48">
        <v>5170000</v>
      </c>
      <c r="G48">
        <v>135600000</v>
      </c>
      <c r="H48">
        <f>Sheet1[[#This Row],[Volume (24h)]]/Sheet1[[#This Row],[Circulating Supply]]</f>
        <v>3.8126843657817107E-2</v>
      </c>
      <c r="I48">
        <f>RANK(Sheet1[[#This Row],[Market Cap]],Sheet1[Market Cap],0)</f>
        <v>46</v>
      </c>
      <c r="J48" t="str">
        <f t="shared" si="0"/>
        <v>0-0.5</v>
      </c>
    </row>
    <row r="49" spans="1:10" x14ac:dyDescent="0.3">
      <c r="A49" t="s">
        <v>94</v>
      </c>
      <c r="B49" t="s">
        <v>95</v>
      </c>
      <c r="C49">
        <v>5.7799999999999997E-2</v>
      </c>
      <c r="D49">
        <v>0.31</v>
      </c>
      <c r="E49">
        <v>57820000</v>
      </c>
      <c r="F49">
        <v>3140000</v>
      </c>
      <c r="G49">
        <v>999990000</v>
      </c>
      <c r="H49">
        <f>Sheet1[[#This Row],[Volume (24h)]]/Sheet1[[#This Row],[Circulating Supply]]</f>
        <v>3.140031400314003E-3</v>
      </c>
      <c r="I49">
        <f>RANK(Sheet1[[#This Row],[Market Cap]],Sheet1[Market Cap],0)</f>
        <v>47</v>
      </c>
      <c r="J49" t="str">
        <f t="shared" si="0"/>
        <v>0-0.5</v>
      </c>
    </row>
    <row r="50" spans="1:10" x14ac:dyDescent="0.3">
      <c r="A50" t="s">
        <v>96</v>
      </c>
      <c r="B50" t="s">
        <v>97</v>
      </c>
      <c r="C50">
        <v>2.3800000000000002E-2</v>
      </c>
      <c r="D50">
        <v>0.43</v>
      </c>
      <c r="E50">
        <v>57720000</v>
      </c>
      <c r="F50">
        <v>7340000</v>
      </c>
      <c r="G50">
        <v>2420000000</v>
      </c>
      <c r="H50">
        <f>Sheet1[[#This Row],[Volume (24h)]]/Sheet1[[#This Row],[Circulating Supply]]</f>
        <v>3.0330578512396695E-3</v>
      </c>
      <c r="I50">
        <f>RANK(Sheet1[[#This Row],[Market Cap]],Sheet1[Market Cap],0)</f>
        <v>48</v>
      </c>
      <c r="J50" t="str">
        <f t="shared" si="0"/>
        <v>100-10000</v>
      </c>
    </row>
    <row r="51" spans="1:10" x14ac:dyDescent="0.3">
      <c r="A51" t="s">
        <v>98</v>
      </c>
      <c r="B51" t="s">
        <v>99</v>
      </c>
      <c r="C51">
        <v>0.04</v>
      </c>
      <c r="D51">
        <v>0.09</v>
      </c>
      <c r="E51">
        <v>56390000</v>
      </c>
      <c r="F51">
        <v>5970000</v>
      </c>
      <c r="G51">
        <v>1400000000</v>
      </c>
      <c r="H51">
        <f>Sheet1[[#This Row],[Volume (24h)]]/Sheet1[[#This Row],[Circulating Supply]]</f>
        <v>4.2642857142857144E-3</v>
      </c>
      <c r="I51">
        <f>RANK(Sheet1[[#This Row],[Market Cap]],Sheet1[Market Cap],0)</f>
        <v>49</v>
      </c>
      <c r="J51" t="str">
        <f t="shared" si="0"/>
        <v>0-0.5</v>
      </c>
    </row>
    <row r="52" spans="1:10" x14ac:dyDescent="0.3">
      <c r="A52" t="s">
        <v>100</v>
      </c>
      <c r="B52" t="s">
        <v>101</v>
      </c>
      <c r="C52">
        <v>9.3100000000000002E-2</v>
      </c>
      <c r="D52">
        <v>1.03</v>
      </c>
      <c r="E52">
        <v>55980000</v>
      </c>
      <c r="F52">
        <v>4240000</v>
      </c>
      <c r="H52" t="e">
        <f>Sheet1[[#This Row],[Volume (24h)]]/Sheet1[[#This Row],[Circulating Supply]]</f>
        <v>#DIV/0!</v>
      </c>
      <c r="I52">
        <f>RANK(Sheet1[[#This Row],[Market Cap]],Sheet1[Market Cap],0)</f>
        <v>50</v>
      </c>
      <c r="J52" t="str">
        <f t="shared" si="0"/>
        <v>0-0.5</v>
      </c>
    </row>
    <row r="53" spans="1:10" x14ac:dyDescent="0.3">
      <c r="A53" t="s">
        <v>102</v>
      </c>
      <c r="B53" t="s">
        <v>103</v>
      </c>
      <c r="C53">
        <v>0.29160000000000003</v>
      </c>
      <c r="D53">
        <v>0.27</v>
      </c>
      <c r="E53">
        <v>55420000</v>
      </c>
      <c r="F53">
        <v>1150000</v>
      </c>
      <c r="G53">
        <v>190000000</v>
      </c>
      <c r="H53">
        <f>Sheet1[[#This Row],[Volume (24h)]]/Sheet1[[#This Row],[Circulating Supply]]</f>
        <v>6.0526315789473685E-3</v>
      </c>
      <c r="I53">
        <f>RANK(Sheet1[[#This Row],[Market Cap]],Sheet1[Market Cap],0)</f>
        <v>51</v>
      </c>
      <c r="J53" t="str">
        <f t="shared" si="0"/>
        <v>0-0.5</v>
      </c>
    </row>
    <row r="54" spans="1:10" x14ac:dyDescent="0.3">
      <c r="A54" t="s">
        <v>104</v>
      </c>
      <c r="B54" t="s">
        <v>105</v>
      </c>
      <c r="C54">
        <v>2.95</v>
      </c>
      <c r="D54">
        <v>0.36</v>
      </c>
      <c r="E54">
        <v>54950000</v>
      </c>
      <c r="F54">
        <v>2350000</v>
      </c>
      <c r="G54">
        <v>18590000</v>
      </c>
      <c r="H54">
        <f>Sheet1[[#This Row],[Volume (24h)]]/Sheet1[[#This Row],[Circulating Supply]]</f>
        <v>0.12641204948897256</v>
      </c>
      <c r="I54">
        <f>RANK(Sheet1[[#This Row],[Market Cap]],Sheet1[Market Cap],0)</f>
        <v>52</v>
      </c>
      <c r="J54" t="str">
        <f t="shared" si="0"/>
        <v>0-0.5</v>
      </c>
    </row>
    <row r="55" spans="1:10" x14ac:dyDescent="0.3">
      <c r="A55" t="s">
        <v>106</v>
      </c>
      <c r="B55" t="s">
        <v>107</v>
      </c>
      <c r="C55">
        <v>0.27189999999999998</v>
      </c>
      <c r="D55">
        <v>0.76</v>
      </c>
      <c r="E55">
        <v>54510000</v>
      </c>
      <c r="F55">
        <v>24540000</v>
      </c>
      <c r="G55">
        <v>200500000</v>
      </c>
      <c r="H55">
        <f>Sheet1[[#This Row],[Volume (24h)]]/Sheet1[[#This Row],[Circulating Supply]]</f>
        <v>0.12239401496259351</v>
      </c>
      <c r="I55">
        <f>RANK(Sheet1[[#This Row],[Market Cap]],Sheet1[Market Cap],0)</f>
        <v>54</v>
      </c>
      <c r="J55" t="str">
        <f t="shared" si="0"/>
        <v>0-0.5</v>
      </c>
    </row>
    <row r="56" spans="1:10" x14ac:dyDescent="0.3">
      <c r="A56" t="s">
        <v>108</v>
      </c>
      <c r="B56" t="s">
        <v>109</v>
      </c>
      <c r="C56">
        <v>8.0000000000000004E-4</v>
      </c>
      <c r="D56">
        <v>0.14000000000000001</v>
      </c>
      <c r="E56">
        <v>54570000</v>
      </c>
      <c r="F56">
        <v>7470000</v>
      </c>
      <c r="G56">
        <v>68990000000</v>
      </c>
      <c r="H56">
        <f>Sheet1[[#This Row],[Volume (24h)]]/Sheet1[[#This Row],[Circulating Supply]]</f>
        <v>1.0827656182055371E-4</v>
      </c>
      <c r="I56">
        <f>RANK(Sheet1[[#This Row],[Market Cap]],Sheet1[Market Cap],0)</f>
        <v>53</v>
      </c>
      <c r="J56" t="str">
        <f t="shared" si="0"/>
        <v>0-0.5</v>
      </c>
    </row>
    <row r="57" spans="1:10" x14ac:dyDescent="0.3">
      <c r="A57" t="s">
        <v>110</v>
      </c>
      <c r="B57" t="s">
        <v>111</v>
      </c>
      <c r="C57">
        <v>0.19450000000000001</v>
      </c>
      <c r="D57">
        <v>0.39</v>
      </c>
      <c r="E57">
        <v>54060000</v>
      </c>
      <c r="F57">
        <v>2500000</v>
      </c>
      <c r="G57">
        <v>277810000</v>
      </c>
      <c r="H57">
        <f>Sheet1[[#This Row],[Volume (24h)]]/Sheet1[[#This Row],[Circulating Supply]]</f>
        <v>8.998956121089953E-3</v>
      </c>
      <c r="I57">
        <f>RANK(Sheet1[[#This Row],[Market Cap]],Sheet1[Market Cap],0)</f>
        <v>55</v>
      </c>
      <c r="J57" t="str">
        <f t="shared" si="0"/>
        <v>0-0.5</v>
      </c>
    </row>
    <row r="58" spans="1:10" x14ac:dyDescent="0.3">
      <c r="A58" t="s">
        <v>112</v>
      </c>
      <c r="B58" t="s">
        <v>113</v>
      </c>
      <c r="C58">
        <v>0.1736</v>
      </c>
      <c r="D58">
        <v>0.01</v>
      </c>
      <c r="E58">
        <v>53740000</v>
      </c>
      <c r="F58">
        <v>7520000</v>
      </c>
      <c r="G58">
        <v>309580000</v>
      </c>
      <c r="H58">
        <f>Sheet1[[#This Row],[Volume (24h)]]/Sheet1[[#This Row],[Circulating Supply]]</f>
        <v>2.4290974869177594E-2</v>
      </c>
      <c r="I58">
        <f>RANK(Sheet1[[#This Row],[Market Cap]],Sheet1[Market Cap],0)</f>
        <v>57</v>
      </c>
      <c r="J58" t="str">
        <f t="shared" si="0"/>
        <v>0-0.5</v>
      </c>
    </row>
    <row r="59" spans="1:10" x14ac:dyDescent="0.3">
      <c r="A59" t="s">
        <v>114</v>
      </c>
      <c r="B59" t="s">
        <v>115</v>
      </c>
      <c r="C59">
        <v>0.40310000000000001</v>
      </c>
      <c r="D59">
        <v>0.13</v>
      </c>
      <c r="E59">
        <v>53710000</v>
      </c>
      <c r="F59">
        <v>230710</v>
      </c>
      <c r="G59">
        <v>133240000</v>
      </c>
      <c r="H59">
        <f>Sheet1[[#This Row],[Volume (24h)]]/Sheet1[[#This Row],[Circulating Supply]]</f>
        <v>1.7315370759531672E-3</v>
      </c>
      <c r="I59">
        <f>RANK(Sheet1[[#This Row],[Market Cap]],Sheet1[Market Cap],0)</f>
        <v>58</v>
      </c>
      <c r="J59" t="str">
        <f t="shared" si="0"/>
        <v>0-0.5</v>
      </c>
    </row>
    <row r="60" spans="1:10" x14ac:dyDescent="0.3">
      <c r="A60" t="s">
        <v>116</v>
      </c>
      <c r="B60" t="s">
        <v>117</v>
      </c>
      <c r="C60">
        <v>7.3000000000000001E-3</v>
      </c>
      <c r="D60">
        <v>0.09</v>
      </c>
      <c r="E60">
        <v>53790000</v>
      </c>
      <c r="F60">
        <v>582150</v>
      </c>
      <c r="G60">
        <v>7410000000</v>
      </c>
      <c r="H60">
        <f>Sheet1[[#This Row],[Volume (24h)]]/Sheet1[[#This Row],[Circulating Supply]]</f>
        <v>7.8562753036437241E-5</v>
      </c>
      <c r="I60">
        <f>RANK(Sheet1[[#This Row],[Market Cap]],Sheet1[Market Cap],0)</f>
        <v>56</v>
      </c>
      <c r="J60" t="str">
        <f t="shared" si="0"/>
        <v>0-0.5</v>
      </c>
    </row>
    <row r="61" spans="1:10" x14ac:dyDescent="0.3">
      <c r="A61" t="s">
        <v>118</v>
      </c>
      <c r="B61" t="s">
        <v>119</v>
      </c>
      <c r="C61">
        <v>4.8999999999999998E-3</v>
      </c>
      <c r="D61">
        <v>0.12</v>
      </c>
      <c r="E61">
        <v>53410000</v>
      </c>
      <c r="F61">
        <v>1800000</v>
      </c>
      <c r="G61">
        <v>10800000000</v>
      </c>
      <c r="H61">
        <f>Sheet1[[#This Row],[Volume (24h)]]/Sheet1[[#This Row],[Circulating Supply]]</f>
        <v>1.6666666666666666E-4</v>
      </c>
      <c r="I61">
        <f>RANK(Sheet1[[#This Row],[Market Cap]],Sheet1[Market Cap],0)</f>
        <v>59</v>
      </c>
      <c r="J61" t="str">
        <f t="shared" si="0"/>
        <v>0-0.5</v>
      </c>
    </row>
    <row r="62" spans="1:10" x14ac:dyDescent="0.3">
      <c r="A62" t="s">
        <v>120</v>
      </c>
      <c r="B62" t="s">
        <v>121</v>
      </c>
      <c r="C62">
        <v>200.13</v>
      </c>
      <c r="D62">
        <v>0.23</v>
      </c>
      <c r="E62">
        <v>38940000</v>
      </c>
      <c r="F62">
        <v>2810000</v>
      </c>
      <c r="G62">
        <v>194590</v>
      </c>
      <c r="H62">
        <f>Sheet1[[#This Row],[Volume (24h)]]/Sheet1[[#This Row],[Circulating Supply]]</f>
        <v>14.440618736831286</v>
      </c>
      <c r="I62">
        <f>RANK(Sheet1[[#This Row],[Market Cap]],Sheet1[Market Cap],0)</f>
        <v>60</v>
      </c>
      <c r="J62" t="str">
        <f t="shared" si="0"/>
        <v>0-0.5</v>
      </c>
    </row>
    <row r="63" spans="1:10" x14ac:dyDescent="0.3">
      <c r="A63" t="s">
        <v>122</v>
      </c>
      <c r="B63" t="s">
        <v>123</v>
      </c>
      <c r="C63">
        <v>3.8899999999999997E-2</v>
      </c>
      <c r="D63">
        <v>0.24</v>
      </c>
      <c r="E63">
        <v>38920000</v>
      </c>
      <c r="F63">
        <v>7410000</v>
      </c>
      <c r="G63">
        <v>999840000</v>
      </c>
      <c r="H63">
        <f>Sheet1[[#This Row],[Volume (24h)]]/Sheet1[[#This Row],[Circulating Supply]]</f>
        <v>7.4111857897263562E-3</v>
      </c>
      <c r="I63">
        <f>RANK(Sheet1[[#This Row],[Market Cap]],Sheet1[Market Cap],0)</f>
        <v>61</v>
      </c>
      <c r="J63" t="str">
        <f t="shared" si="0"/>
        <v>0-0.5</v>
      </c>
    </row>
    <row r="64" spans="1:10" x14ac:dyDescent="0.3">
      <c r="A64" t="s">
        <v>124</v>
      </c>
      <c r="B64" t="s">
        <v>125</v>
      </c>
      <c r="C64">
        <v>5.04E-2</v>
      </c>
      <c r="D64">
        <v>1.96</v>
      </c>
      <c r="E64">
        <v>38900000</v>
      </c>
      <c r="F64">
        <v>3020000</v>
      </c>
      <c r="G64">
        <v>772400000</v>
      </c>
      <c r="H64">
        <f>Sheet1[[#This Row],[Volume (24h)]]/Sheet1[[#This Row],[Circulating Supply]]</f>
        <v>3.9098912480580008E-3</v>
      </c>
      <c r="I64">
        <f>RANK(Sheet1[[#This Row],[Market Cap]],Sheet1[Market Cap],0)</f>
        <v>62</v>
      </c>
      <c r="J64" t="str">
        <f t="shared" si="0"/>
        <v>0-0.5</v>
      </c>
    </row>
    <row r="65" spans="1:10" x14ac:dyDescent="0.3">
      <c r="A65" t="s">
        <v>126</v>
      </c>
      <c r="B65" t="s">
        <v>127</v>
      </c>
      <c r="C65">
        <v>0.47439999999999999</v>
      </c>
      <c r="D65">
        <v>0.66</v>
      </c>
      <c r="E65">
        <v>38890000</v>
      </c>
      <c r="F65">
        <v>138940</v>
      </c>
      <c r="G65">
        <v>81970000</v>
      </c>
      <c r="H65">
        <f>Sheet1[[#This Row],[Volume (24h)]]/Sheet1[[#This Row],[Circulating Supply]]</f>
        <v>1.6950103696474321E-3</v>
      </c>
      <c r="I65">
        <f>RANK(Sheet1[[#This Row],[Market Cap]],Sheet1[Market Cap],0)</f>
        <v>63</v>
      </c>
      <c r="J65" t="str">
        <f t="shared" si="0"/>
        <v>0-0.5</v>
      </c>
    </row>
    <row r="66" spans="1:10" x14ac:dyDescent="0.3">
      <c r="A66" t="s">
        <v>128</v>
      </c>
      <c r="B66" t="s">
        <v>129</v>
      </c>
      <c r="C66">
        <v>3.5000000000000001E-3</v>
      </c>
      <c r="D66">
        <v>0.81</v>
      </c>
      <c r="E66">
        <v>38830000</v>
      </c>
      <c r="F66">
        <v>8600000</v>
      </c>
      <c r="G66">
        <v>11150000000</v>
      </c>
      <c r="H66">
        <f>Sheet1[[#This Row],[Volume (24h)]]/Sheet1[[#This Row],[Circulating Supply]]</f>
        <v>7.713004484304933E-4</v>
      </c>
      <c r="I66">
        <f>RANK(Sheet1[[#This Row],[Market Cap]],Sheet1[Market Cap],0)</f>
        <v>64</v>
      </c>
      <c r="J66" t="str">
        <f t="shared" ref="J66:J129" si="1">IF(C276&lt;=0.5,"0-0.5",
IF(C276&lt;=1,"0.5-1",
IF(C276&lt;=2,"1-2",
IF(C276&lt;=10,"2-10",
IF(C276&lt;=100,"10-100",
IF(C276&lt;=10000,"100-10000",
"10000+"))))))</f>
        <v>0-0.5</v>
      </c>
    </row>
    <row r="67" spans="1:10" x14ac:dyDescent="0.3">
      <c r="A67" t="s">
        <v>130</v>
      </c>
      <c r="B67" t="s">
        <v>131</v>
      </c>
      <c r="C67">
        <v>1.5100000000000001E-2</v>
      </c>
      <c r="D67">
        <v>1.01</v>
      </c>
      <c r="E67">
        <v>38730000</v>
      </c>
      <c r="F67">
        <v>5440000</v>
      </c>
      <c r="G67">
        <v>2560000000</v>
      </c>
      <c r="H67">
        <f>Sheet1[[#This Row],[Volume (24h)]]/Sheet1[[#This Row],[Circulating Supply]]</f>
        <v>2.1250000000000002E-3</v>
      </c>
      <c r="I67">
        <f>RANK(Sheet1[[#This Row],[Market Cap]],Sheet1[Market Cap],0)</f>
        <v>65</v>
      </c>
      <c r="J67" t="str">
        <f t="shared" si="1"/>
        <v>0-0.5</v>
      </c>
    </row>
    <row r="68" spans="1:10" x14ac:dyDescent="0.3">
      <c r="A68" t="s">
        <v>132</v>
      </c>
      <c r="B68" t="s">
        <v>133</v>
      </c>
      <c r="C68">
        <v>7.9899999999999999E-2</v>
      </c>
      <c r="D68">
        <v>0.1</v>
      </c>
      <c r="E68">
        <v>38620000</v>
      </c>
      <c r="F68">
        <v>7220000</v>
      </c>
      <c r="G68">
        <v>390560000000000</v>
      </c>
      <c r="H68">
        <f>Sheet1[[#This Row],[Volume (24h)]]/Sheet1[[#This Row],[Circulating Supply]]</f>
        <v>1.8486276116345758E-8</v>
      </c>
      <c r="I68">
        <f>RANK(Sheet1[[#This Row],[Market Cap]],Sheet1[Market Cap],0)</f>
        <v>66</v>
      </c>
      <c r="J68" t="str">
        <f t="shared" si="1"/>
        <v>0-0.5</v>
      </c>
    </row>
    <row r="69" spans="1:10" x14ac:dyDescent="0.3">
      <c r="A69" t="s">
        <v>134</v>
      </c>
      <c r="B69" t="s">
        <v>135</v>
      </c>
      <c r="C69">
        <v>0.99950000000000006</v>
      </c>
      <c r="D69">
        <v>0</v>
      </c>
      <c r="E69">
        <v>38620000</v>
      </c>
      <c r="F69">
        <v>692530</v>
      </c>
      <c r="G69">
        <v>38640000</v>
      </c>
      <c r="H69">
        <f>Sheet1[[#This Row],[Volume (24h)]]/Sheet1[[#This Row],[Circulating Supply]]</f>
        <v>1.7922619047619048E-2</v>
      </c>
      <c r="I69">
        <f>RANK(Sheet1[[#This Row],[Market Cap]],Sheet1[Market Cap],0)</f>
        <v>66</v>
      </c>
      <c r="J69" t="str">
        <f t="shared" si="1"/>
        <v>10-100</v>
      </c>
    </row>
    <row r="70" spans="1:10" x14ac:dyDescent="0.3">
      <c r="A70" t="s">
        <v>136</v>
      </c>
      <c r="B70" t="s">
        <v>137</v>
      </c>
      <c r="C70">
        <v>3.8999999999999998E-3</v>
      </c>
      <c r="D70">
        <v>0.28999999999999998</v>
      </c>
      <c r="E70">
        <v>38550000</v>
      </c>
      <c r="F70">
        <v>4290000</v>
      </c>
      <c r="G70">
        <v>9990000000</v>
      </c>
      <c r="H70">
        <f>Sheet1[[#This Row],[Volume (24h)]]/Sheet1[[#This Row],[Circulating Supply]]</f>
        <v>4.2942942942942941E-4</v>
      </c>
      <c r="I70">
        <f>RANK(Sheet1[[#This Row],[Market Cap]],Sheet1[Market Cap],0)</f>
        <v>68</v>
      </c>
      <c r="J70" t="str">
        <f t="shared" si="1"/>
        <v>0-0.5</v>
      </c>
    </row>
    <row r="71" spans="1:10" x14ac:dyDescent="0.3">
      <c r="A71" t="s">
        <v>138</v>
      </c>
      <c r="B71" t="s">
        <v>139</v>
      </c>
      <c r="C71">
        <v>7.0000000000000007E-2</v>
      </c>
      <c r="D71">
        <v>0.66</v>
      </c>
      <c r="E71">
        <v>38460000</v>
      </c>
      <c r="F71">
        <v>3450000</v>
      </c>
      <c r="G71">
        <v>549560000</v>
      </c>
      <c r="H71">
        <f>Sheet1[[#This Row],[Volume (24h)]]/Sheet1[[#This Row],[Circulating Supply]]</f>
        <v>6.2777494723051169E-3</v>
      </c>
      <c r="I71">
        <f>RANK(Sheet1[[#This Row],[Market Cap]],Sheet1[Market Cap],0)</f>
        <v>69</v>
      </c>
      <c r="J71" t="str">
        <f t="shared" si="1"/>
        <v>0-0.5</v>
      </c>
    </row>
    <row r="72" spans="1:10" x14ac:dyDescent="0.3">
      <c r="A72" t="s">
        <v>140</v>
      </c>
      <c r="B72" t="s">
        <v>141</v>
      </c>
      <c r="C72">
        <v>1.1499999999999999</v>
      </c>
      <c r="D72">
        <v>0.01</v>
      </c>
      <c r="E72">
        <v>38180000</v>
      </c>
      <c r="F72">
        <v>5360000</v>
      </c>
      <c r="G72">
        <v>33130000</v>
      </c>
      <c r="H72">
        <f>Sheet1[[#This Row],[Volume (24h)]]/Sheet1[[#This Row],[Circulating Supply]]</f>
        <v>0.16178690009055238</v>
      </c>
      <c r="I72">
        <f>RANK(Sheet1[[#This Row],[Market Cap]],Sheet1[Market Cap],0)</f>
        <v>70</v>
      </c>
      <c r="J72" t="str">
        <f t="shared" si="1"/>
        <v>100-10000</v>
      </c>
    </row>
    <row r="73" spans="1:10" x14ac:dyDescent="0.3">
      <c r="A73" t="s">
        <v>142</v>
      </c>
      <c r="B73" t="s">
        <v>143</v>
      </c>
      <c r="C73">
        <v>0.26400000000000001</v>
      </c>
      <c r="D73">
        <v>1.98</v>
      </c>
      <c r="E73">
        <v>38100000</v>
      </c>
      <c r="F73">
        <v>16650000</v>
      </c>
      <c r="G73">
        <v>144270000</v>
      </c>
      <c r="H73">
        <f>Sheet1[[#This Row],[Volume (24h)]]/Sheet1[[#This Row],[Circulating Supply]]</f>
        <v>0.11540860885839052</v>
      </c>
      <c r="I73">
        <f>RANK(Sheet1[[#This Row],[Market Cap]],Sheet1[Market Cap],0)</f>
        <v>71</v>
      </c>
      <c r="J73" t="str">
        <f t="shared" si="1"/>
        <v>0-0.5</v>
      </c>
    </row>
    <row r="74" spans="1:10" x14ac:dyDescent="0.3">
      <c r="A74" t="s">
        <v>144</v>
      </c>
      <c r="B74" t="s">
        <v>145</v>
      </c>
      <c r="C74">
        <v>6.2799999999999995E-2</v>
      </c>
      <c r="D74">
        <v>0.03</v>
      </c>
      <c r="E74">
        <v>37890000</v>
      </c>
      <c r="F74">
        <v>2010000</v>
      </c>
      <c r="G74">
        <v>603760000</v>
      </c>
      <c r="H74">
        <f>Sheet1[[#This Row],[Volume (24h)]]/Sheet1[[#This Row],[Circulating Supply]]</f>
        <v>3.3291374055916256E-3</v>
      </c>
      <c r="I74">
        <f>RANK(Sheet1[[#This Row],[Market Cap]],Sheet1[Market Cap],0)</f>
        <v>72</v>
      </c>
      <c r="J74" t="str">
        <f t="shared" si="1"/>
        <v>0-0.5</v>
      </c>
    </row>
    <row r="75" spans="1:10" x14ac:dyDescent="0.3">
      <c r="A75" t="s">
        <v>146</v>
      </c>
      <c r="B75" t="s">
        <v>147</v>
      </c>
      <c r="C75">
        <v>13.52</v>
      </c>
      <c r="D75">
        <v>0.18</v>
      </c>
      <c r="E75">
        <v>37840000</v>
      </c>
      <c r="F75">
        <v>7750000</v>
      </c>
      <c r="G75">
        <v>2790000</v>
      </c>
      <c r="H75">
        <f>Sheet1[[#This Row],[Volume (24h)]]/Sheet1[[#This Row],[Circulating Supply]]</f>
        <v>2.7777777777777777</v>
      </c>
      <c r="I75">
        <f>RANK(Sheet1[[#This Row],[Market Cap]],Sheet1[Market Cap],0)</f>
        <v>73</v>
      </c>
      <c r="J75" t="str">
        <f t="shared" si="1"/>
        <v>0-0.5</v>
      </c>
    </row>
    <row r="76" spans="1:10" x14ac:dyDescent="0.3">
      <c r="A76" t="s">
        <v>148</v>
      </c>
      <c r="B76" t="s">
        <v>149</v>
      </c>
      <c r="C76">
        <v>3.5299999999999998E-2</v>
      </c>
      <c r="D76">
        <v>0.06</v>
      </c>
      <c r="E76">
        <v>37760000</v>
      </c>
      <c r="F76">
        <v>581340</v>
      </c>
      <c r="G76">
        <v>1060000000</v>
      </c>
      <c r="H76">
        <f>Sheet1[[#This Row],[Volume (24h)]]/Sheet1[[#This Row],[Circulating Supply]]</f>
        <v>5.4843396226415093E-4</v>
      </c>
      <c r="I76">
        <f>RANK(Sheet1[[#This Row],[Market Cap]],Sheet1[Market Cap],0)</f>
        <v>74</v>
      </c>
      <c r="J76" t="str">
        <f t="shared" si="1"/>
        <v>0-0.5</v>
      </c>
    </row>
    <row r="77" spans="1:10" x14ac:dyDescent="0.3">
      <c r="A77" t="s">
        <v>150</v>
      </c>
      <c r="B77" t="s">
        <v>151</v>
      </c>
      <c r="C77">
        <v>1E-4</v>
      </c>
      <c r="D77">
        <v>4.53</v>
      </c>
      <c r="E77">
        <v>28430000</v>
      </c>
      <c r="F77">
        <v>9280000</v>
      </c>
      <c r="G77">
        <v>420690000000</v>
      </c>
      <c r="H77">
        <f>Sheet1[[#This Row],[Volume (24h)]]/Sheet1[[#This Row],[Circulating Supply]]</f>
        <v>2.2058998312296465E-5</v>
      </c>
      <c r="I77">
        <f>RANK(Sheet1[[#This Row],[Market Cap]],Sheet1[Market Cap],0)</f>
        <v>79</v>
      </c>
      <c r="J77" t="str">
        <f t="shared" si="1"/>
        <v>0-0.5</v>
      </c>
    </row>
    <row r="78" spans="1:10" x14ac:dyDescent="0.3">
      <c r="A78" t="s">
        <v>152</v>
      </c>
      <c r="B78" t="s">
        <v>153</v>
      </c>
      <c r="C78">
        <v>1.2699999999999999E-2</v>
      </c>
      <c r="D78">
        <v>0.28000000000000003</v>
      </c>
      <c r="E78">
        <v>28590000</v>
      </c>
      <c r="F78">
        <v>667300</v>
      </c>
      <c r="G78">
        <v>2250000000</v>
      </c>
      <c r="H78">
        <f>Sheet1[[#This Row],[Volume (24h)]]/Sheet1[[#This Row],[Circulating Supply]]</f>
        <v>2.965777777777778E-4</v>
      </c>
      <c r="I78">
        <f>RANK(Sheet1[[#This Row],[Market Cap]],Sheet1[Market Cap],0)</f>
        <v>75</v>
      </c>
      <c r="J78" t="str">
        <f t="shared" si="1"/>
        <v>0-0.5</v>
      </c>
    </row>
    <row r="79" spans="1:10" x14ac:dyDescent="0.3">
      <c r="A79" t="s">
        <v>154</v>
      </c>
      <c r="B79" t="s">
        <v>155</v>
      </c>
      <c r="C79">
        <v>2.5600000000000001E-2</v>
      </c>
      <c r="D79">
        <v>0.27</v>
      </c>
      <c r="E79">
        <v>28590000</v>
      </c>
      <c r="F79">
        <v>3740</v>
      </c>
      <c r="G79">
        <v>1110000000</v>
      </c>
      <c r="H79">
        <f>Sheet1[[#This Row],[Volume (24h)]]/Sheet1[[#This Row],[Circulating Supply]]</f>
        <v>3.3693693693693695E-6</v>
      </c>
      <c r="I79">
        <f>RANK(Sheet1[[#This Row],[Market Cap]],Sheet1[Market Cap],0)</f>
        <v>75</v>
      </c>
      <c r="J79" t="str">
        <f t="shared" si="1"/>
        <v>0-0.5</v>
      </c>
    </row>
    <row r="80" spans="1:10" x14ac:dyDescent="0.3">
      <c r="A80" t="s">
        <v>156</v>
      </c>
      <c r="B80" t="s">
        <v>156</v>
      </c>
      <c r="C80">
        <v>0.99929999999999997</v>
      </c>
      <c r="D80">
        <v>0</v>
      </c>
      <c r="E80">
        <v>28580000</v>
      </c>
      <c r="G80">
        <v>28600000</v>
      </c>
      <c r="H80">
        <f>Sheet1[[#This Row],[Volume (24h)]]/Sheet1[[#This Row],[Circulating Supply]]</f>
        <v>0</v>
      </c>
      <c r="I80">
        <f>RANK(Sheet1[[#This Row],[Market Cap]],Sheet1[Market Cap],0)</f>
        <v>77</v>
      </c>
      <c r="J80" t="str">
        <f t="shared" si="1"/>
        <v>10-100</v>
      </c>
    </row>
    <row r="81" spans="1:10" x14ac:dyDescent="0.3">
      <c r="A81" t="s">
        <v>157</v>
      </c>
      <c r="B81" t="s">
        <v>158</v>
      </c>
      <c r="C81">
        <v>27.67</v>
      </c>
      <c r="D81">
        <v>0.2</v>
      </c>
      <c r="E81">
        <v>28540000</v>
      </c>
      <c r="F81">
        <v>1040000</v>
      </c>
      <c r="G81">
        <v>1030000</v>
      </c>
      <c r="H81">
        <f>Sheet1[[#This Row],[Volume (24h)]]/Sheet1[[#This Row],[Circulating Supply]]</f>
        <v>1.0097087378640777</v>
      </c>
      <c r="I81">
        <f>RANK(Sheet1[[#This Row],[Market Cap]],Sheet1[Market Cap],0)</f>
        <v>78</v>
      </c>
      <c r="J81" t="str">
        <f t="shared" si="1"/>
        <v>0-0.5</v>
      </c>
    </row>
    <row r="82" spans="1:10" x14ac:dyDescent="0.3">
      <c r="A82" t="s">
        <v>159</v>
      </c>
      <c r="B82" t="s">
        <v>160</v>
      </c>
      <c r="C82">
        <v>7.5300000000000006E-2</v>
      </c>
      <c r="D82">
        <v>0.77</v>
      </c>
      <c r="E82">
        <v>28410000</v>
      </c>
      <c r="F82">
        <v>175590</v>
      </c>
      <c r="G82">
        <v>536420000000000</v>
      </c>
      <c r="H82">
        <f>Sheet1[[#This Row],[Volume (24h)]]/Sheet1[[#This Row],[Circulating Supply]]</f>
        <v>3.2733678833749673E-10</v>
      </c>
      <c r="I82">
        <f>RANK(Sheet1[[#This Row],[Market Cap]],Sheet1[Market Cap],0)</f>
        <v>80</v>
      </c>
      <c r="J82" t="str">
        <f t="shared" si="1"/>
        <v>0-0.5</v>
      </c>
    </row>
    <row r="83" spans="1:10" x14ac:dyDescent="0.3">
      <c r="A83" t="s">
        <v>161</v>
      </c>
      <c r="B83" t="s">
        <v>162</v>
      </c>
      <c r="C83">
        <v>0</v>
      </c>
      <c r="D83">
        <v>0.09</v>
      </c>
      <c r="E83">
        <v>28350000</v>
      </c>
      <c r="F83">
        <v>6900000</v>
      </c>
      <c r="G83">
        <v>993700000000</v>
      </c>
      <c r="H83">
        <f>Sheet1[[#This Row],[Volume (24h)]]/Sheet1[[#This Row],[Circulating Supply]]</f>
        <v>6.9437455972627549E-6</v>
      </c>
      <c r="I83">
        <f>RANK(Sheet1[[#This Row],[Market Cap]],Sheet1[Market Cap],0)</f>
        <v>81</v>
      </c>
      <c r="J83" t="str">
        <f t="shared" si="1"/>
        <v>0-0.5</v>
      </c>
    </row>
    <row r="84" spans="1:10" x14ac:dyDescent="0.3">
      <c r="A84" t="s">
        <v>163</v>
      </c>
      <c r="B84" t="s">
        <v>164</v>
      </c>
      <c r="C84">
        <v>5.0000000000000001E-4</v>
      </c>
      <c r="D84">
        <v>0.18</v>
      </c>
      <c r="E84">
        <v>28220000</v>
      </c>
      <c r="F84">
        <v>2490000</v>
      </c>
      <c r="G84">
        <v>56020000000</v>
      </c>
      <c r="H84">
        <f>Sheet1[[#This Row],[Volume (24h)]]/Sheet1[[#This Row],[Circulating Supply]]</f>
        <v>4.4448411281685113E-5</v>
      </c>
      <c r="I84">
        <f>RANK(Sheet1[[#This Row],[Market Cap]],Sheet1[Market Cap],0)</f>
        <v>82</v>
      </c>
      <c r="J84" t="str">
        <f t="shared" si="1"/>
        <v>100-10000</v>
      </c>
    </row>
    <row r="85" spans="1:10" x14ac:dyDescent="0.3">
      <c r="A85" t="s">
        <v>165</v>
      </c>
      <c r="B85" t="s">
        <v>166</v>
      </c>
      <c r="C85">
        <v>5.6800000000000003E-2</v>
      </c>
      <c r="D85">
        <v>0.47</v>
      </c>
      <c r="E85">
        <v>28210000</v>
      </c>
      <c r="F85">
        <v>3250000</v>
      </c>
      <c r="G85">
        <v>496990000</v>
      </c>
      <c r="H85">
        <f>Sheet1[[#This Row],[Volume (24h)]]/Sheet1[[#This Row],[Circulating Supply]]</f>
        <v>6.5393669892754381E-3</v>
      </c>
      <c r="I85">
        <f>RANK(Sheet1[[#This Row],[Market Cap]],Sheet1[Market Cap],0)</f>
        <v>83</v>
      </c>
      <c r="J85" t="str">
        <f t="shared" si="1"/>
        <v>0-0.5</v>
      </c>
    </row>
    <row r="86" spans="1:10" x14ac:dyDescent="0.3">
      <c r="A86" t="s">
        <v>167</v>
      </c>
      <c r="B86" t="s">
        <v>168</v>
      </c>
      <c r="C86">
        <v>0.11070000000000001</v>
      </c>
      <c r="D86">
        <v>0.69</v>
      </c>
      <c r="E86">
        <v>28010000</v>
      </c>
      <c r="F86">
        <v>3840000</v>
      </c>
      <c r="G86">
        <v>253000000</v>
      </c>
      <c r="H86">
        <f>Sheet1[[#This Row],[Volume (24h)]]/Sheet1[[#This Row],[Circulating Supply]]</f>
        <v>1.5177865612648221E-2</v>
      </c>
      <c r="I86">
        <f>RANK(Sheet1[[#This Row],[Market Cap]],Sheet1[Market Cap],0)</f>
        <v>84</v>
      </c>
      <c r="J86" t="str">
        <f t="shared" si="1"/>
        <v>0-0.5</v>
      </c>
    </row>
    <row r="87" spans="1:10" x14ac:dyDescent="0.3">
      <c r="A87" t="s">
        <v>169</v>
      </c>
      <c r="B87" t="s">
        <v>170</v>
      </c>
      <c r="C87">
        <v>5.8599999999999999E-2</v>
      </c>
      <c r="D87">
        <v>0.33</v>
      </c>
      <c r="E87">
        <v>27990000</v>
      </c>
      <c r="F87">
        <v>2220000</v>
      </c>
      <c r="G87">
        <v>477760000</v>
      </c>
      <c r="H87">
        <f>Sheet1[[#This Row],[Volume (24h)]]/Sheet1[[#This Row],[Circulating Supply]]</f>
        <v>4.6466845277963829E-3</v>
      </c>
      <c r="I87">
        <f>RANK(Sheet1[[#This Row],[Market Cap]],Sheet1[Market Cap],0)</f>
        <v>85</v>
      </c>
      <c r="J87" t="str">
        <f t="shared" si="1"/>
        <v>10-100</v>
      </c>
    </row>
    <row r="88" spans="1:10" x14ac:dyDescent="0.3">
      <c r="A88" t="s">
        <v>171</v>
      </c>
      <c r="B88" t="s">
        <v>172</v>
      </c>
      <c r="C88">
        <v>113.71</v>
      </c>
      <c r="D88">
        <v>0.75</v>
      </c>
      <c r="E88">
        <v>27900000</v>
      </c>
      <c r="F88">
        <v>74140000</v>
      </c>
      <c r="G88">
        <v>245360</v>
      </c>
      <c r="H88">
        <f>Sheet1[[#This Row],[Volume (24h)]]/Sheet1[[#This Row],[Circulating Supply]]</f>
        <v>302.16824258232799</v>
      </c>
      <c r="I88">
        <f>RANK(Sheet1[[#This Row],[Market Cap]],Sheet1[Market Cap],0)</f>
        <v>86</v>
      </c>
      <c r="J88" t="str">
        <f t="shared" si="1"/>
        <v>0-0.5</v>
      </c>
    </row>
    <row r="89" spans="1:10" x14ac:dyDescent="0.3">
      <c r="A89" t="s">
        <v>173</v>
      </c>
      <c r="B89" t="s">
        <v>174</v>
      </c>
      <c r="C89">
        <v>0.11799999999999999</v>
      </c>
      <c r="D89">
        <v>0.51</v>
      </c>
      <c r="E89">
        <v>27890000</v>
      </c>
      <c r="F89">
        <v>663280000</v>
      </c>
      <c r="G89">
        <v>236300000</v>
      </c>
      <c r="H89">
        <f>Sheet1[[#This Row],[Volume (24h)]]/Sheet1[[#This Row],[Circulating Supply]]</f>
        <v>2.80694033008887</v>
      </c>
      <c r="I89">
        <f>RANK(Sheet1[[#This Row],[Market Cap]],Sheet1[Market Cap],0)</f>
        <v>87</v>
      </c>
      <c r="J89" t="str">
        <f t="shared" si="1"/>
        <v>0-0.5</v>
      </c>
    </row>
    <row r="90" spans="1:10" x14ac:dyDescent="0.3">
      <c r="A90" t="s">
        <v>175</v>
      </c>
      <c r="B90" t="s">
        <v>176</v>
      </c>
      <c r="C90">
        <v>0.26240000000000002</v>
      </c>
      <c r="D90">
        <v>0.37</v>
      </c>
      <c r="E90">
        <v>27830000</v>
      </c>
      <c r="F90">
        <v>2800000</v>
      </c>
      <c r="G90">
        <v>106040000</v>
      </c>
      <c r="H90">
        <f>Sheet1[[#This Row],[Volume (24h)]]/Sheet1[[#This Row],[Circulating Supply]]</f>
        <v>2.6405130139569973E-2</v>
      </c>
      <c r="I90">
        <f>RANK(Sheet1[[#This Row],[Market Cap]],Sheet1[Market Cap],0)</f>
        <v>88</v>
      </c>
      <c r="J90" t="str">
        <f t="shared" si="1"/>
        <v>0-0.5</v>
      </c>
    </row>
    <row r="91" spans="1:10" x14ac:dyDescent="0.3">
      <c r="A91" t="s">
        <v>177</v>
      </c>
      <c r="B91" t="s">
        <v>178</v>
      </c>
      <c r="C91">
        <v>1.11E-2</v>
      </c>
      <c r="D91">
        <v>0.13</v>
      </c>
      <c r="E91">
        <v>27810000</v>
      </c>
      <c r="F91">
        <v>1650000</v>
      </c>
      <c r="G91">
        <v>2500000000</v>
      </c>
      <c r="H91">
        <f>Sheet1[[#This Row],[Volume (24h)]]/Sheet1[[#This Row],[Circulating Supply]]</f>
        <v>6.6E-4</v>
      </c>
      <c r="I91">
        <f>RANK(Sheet1[[#This Row],[Market Cap]],Sheet1[Market Cap],0)</f>
        <v>89</v>
      </c>
      <c r="J91" t="str">
        <f t="shared" si="1"/>
        <v>0-0.5</v>
      </c>
    </row>
    <row r="92" spans="1:10" x14ac:dyDescent="0.3">
      <c r="A92" t="s">
        <v>179</v>
      </c>
      <c r="B92" t="s">
        <v>180</v>
      </c>
      <c r="C92">
        <v>2.83</v>
      </c>
      <c r="D92">
        <v>7.0000000000000007E-2</v>
      </c>
      <c r="E92">
        <v>20820000</v>
      </c>
      <c r="F92">
        <v>1620000</v>
      </c>
      <c r="G92">
        <v>7340000</v>
      </c>
      <c r="H92">
        <f>Sheet1[[#This Row],[Volume (24h)]]/Sheet1[[#This Row],[Circulating Supply]]</f>
        <v>0.22070844686648503</v>
      </c>
      <c r="I92">
        <f>RANK(Sheet1[[#This Row],[Market Cap]],Sheet1[Market Cap],0)</f>
        <v>90</v>
      </c>
      <c r="J92" t="str">
        <f t="shared" si="1"/>
        <v>0-0.5</v>
      </c>
    </row>
    <row r="93" spans="1:10" x14ac:dyDescent="0.3">
      <c r="A93" t="s">
        <v>181</v>
      </c>
      <c r="B93" t="s">
        <v>182</v>
      </c>
      <c r="C93">
        <v>8.48E-2</v>
      </c>
      <c r="D93">
        <v>0.17</v>
      </c>
      <c r="E93">
        <v>20630000</v>
      </c>
      <c r="F93">
        <v>2950000</v>
      </c>
      <c r="G93">
        <v>243230000</v>
      </c>
      <c r="H93">
        <f>Sheet1[[#This Row],[Volume (24h)]]/Sheet1[[#This Row],[Circulating Supply]]</f>
        <v>1.2128438103852321E-2</v>
      </c>
      <c r="I93">
        <f>RANK(Sheet1[[#This Row],[Market Cap]],Sheet1[Market Cap],0)</f>
        <v>91</v>
      </c>
      <c r="J93" t="str">
        <f t="shared" si="1"/>
        <v>0-0.5</v>
      </c>
    </row>
    <row r="94" spans="1:10" x14ac:dyDescent="0.3">
      <c r="A94" t="s">
        <v>183</v>
      </c>
      <c r="B94" t="s">
        <v>183</v>
      </c>
      <c r="C94">
        <v>6.6E-3</v>
      </c>
      <c r="D94">
        <v>0.91</v>
      </c>
      <c r="E94">
        <v>20600000</v>
      </c>
      <c r="F94">
        <v>8520000</v>
      </c>
      <c r="G94">
        <v>3110000000</v>
      </c>
      <c r="H94">
        <f>Sheet1[[#This Row],[Volume (24h)]]/Sheet1[[#This Row],[Circulating Supply]]</f>
        <v>2.7395498392282958E-3</v>
      </c>
      <c r="I94">
        <f>RANK(Sheet1[[#This Row],[Market Cap]],Sheet1[Market Cap],0)</f>
        <v>92</v>
      </c>
      <c r="J94" t="str">
        <f t="shared" si="1"/>
        <v>0-0.5</v>
      </c>
    </row>
    <row r="95" spans="1:10" x14ac:dyDescent="0.3">
      <c r="A95" t="s">
        <v>184</v>
      </c>
      <c r="B95" t="s">
        <v>185</v>
      </c>
      <c r="C95">
        <v>819.57</v>
      </c>
      <c r="D95">
        <v>7.0000000000000007E-2</v>
      </c>
      <c r="E95">
        <v>20580000</v>
      </c>
      <c r="F95">
        <v>1140000</v>
      </c>
      <c r="G95">
        <v>25110</v>
      </c>
      <c r="H95">
        <f>Sheet1[[#This Row],[Volume (24h)]]/Sheet1[[#This Row],[Circulating Supply]]</f>
        <v>45.400238948626047</v>
      </c>
      <c r="I95">
        <f>RANK(Sheet1[[#This Row],[Market Cap]],Sheet1[Market Cap],0)</f>
        <v>93</v>
      </c>
      <c r="J95" t="str">
        <f t="shared" si="1"/>
        <v>0-0.5</v>
      </c>
    </row>
    <row r="96" spans="1:10" x14ac:dyDescent="0.3">
      <c r="A96" t="s">
        <v>186</v>
      </c>
      <c r="B96" t="s">
        <v>187</v>
      </c>
      <c r="C96">
        <v>1.42</v>
      </c>
      <c r="D96">
        <v>0.46</v>
      </c>
      <c r="E96">
        <v>20520000</v>
      </c>
      <c r="F96">
        <v>786200</v>
      </c>
      <c r="G96">
        <v>14410000</v>
      </c>
      <c r="H96">
        <f>Sheet1[[#This Row],[Volume (24h)]]/Sheet1[[#This Row],[Circulating Supply]]</f>
        <v>5.4559333795975017E-2</v>
      </c>
      <c r="I96">
        <f>RANK(Sheet1[[#This Row],[Market Cap]],Sheet1[Market Cap],0)</f>
        <v>94</v>
      </c>
      <c r="J96" t="str">
        <f t="shared" si="1"/>
        <v>0-0.5</v>
      </c>
    </row>
    <row r="97" spans="1:10" x14ac:dyDescent="0.3">
      <c r="A97" t="s">
        <v>188</v>
      </c>
      <c r="B97" t="s">
        <v>189</v>
      </c>
      <c r="C97">
        <v>2.2000000000000001E-3</v>
      </c>
      <c r="D97">
        <v>0.62</v>
      </c>
      <c r="E97">
        <v>20490000</v>
      </c>
      <c r="F97">
        <v>951540</v>
      </c>
      <c r="G97">
        <v>9440000000</v>
      </c>
      <c r="H97">
        <f>Sheet1[[#This Row],[Volume (24h)]]/Sheet1[[#This Row],[Circulating Supply]]</f>
        <v>1.0079872881355933E-4</v>
      </c>
      <c r="I97">
        <f>RANK(Sheet1[[#This Row],[Market Cap]],Sheet1[Market Cap],0)</f>
        <v>95</v>
      </c>
      <c r="J97" t="str">
        <f t="shared" si="1"/>
        <v>0-0.5</v>
      </c>
    </row>
    <row r="98" spans="1:10" x14ac:dyDescent="0.3">
      <c r="A98" t="s">
        <v>190</v>
      </c>
      <c r="B98" t="s">
        <v>191</v>
      </c>
      <c r="C98">
        <v>1</v>
      </c>
      <c r="D98">
        <v>0.01</v>
      </c>
      <c r="E98">
        <v>20440000</v>
      </c>
      <c r="F98">
        <v>4330000</v>
      </c>
      <c r="G98">
        <v>20360000</v>
      </c>
      <c r="H98">
        <f>Sheet1[[#This Row],[Volume (24h)]]/Sheet1[[#This Row],[Circulating Supply]]</f>
        <v>0.21267190569744598</v>
      </c>
      <c r="I98">
        <f>RANK(Sheet1[[#This Row],[Market Cap]],Sheet1[Market Cap],0)</f>
        <v>96</v>
      </c>
      <c r="J98" t="str">
        <f t="shared" si="1"/>
        <v>0-0.5</v>
      </c>
    </row>
    <row r="99" spans="1:10" x14ac:dyDescent="0.3">
      <c r="A99" t="s">
        <v>192</v>
      </c>
      <c r="B99" t="s">
        <v>193</v>
      </c>
      <c r="C99">
        <v>1211.4100000000001</v>
      </c>
      <c r="D99">
        <v>0.35</v>
      </c>
      <c r="E99">
        <v>20380000</v>
      </c>
      <c r="F99">
        <v>2040000</v>
      </c>
      <c r="G99">
        <v>16830</v>
      </c>
      <c r="H99">
        <f>Sheet1[[#This Row],[Volume (24h)]]/Sheet1[[#This Row],[Circulating Supply]]</f>
        <v>121.21212121212122</v>
      </c>
      <c r="I99">
        <f>RANK(Sheet1[[#This Row],[Market Cap]],Sheet1[Market Cap],0)</f>
        <v>97</v>
      </c>
      <c r="J99" t="str">
        <f t="shared" si="1"/>
        <v>0-0.5</v>
      </c>
    </row>
    <row r="100" spans="1:10" x14ac:dyDescent="0.3">
      <c r="A100" t="s">
        <v>194</v>
      </c>
      <c r="B100" t="s">
        <v>195</v>
      </c>
      <c r="C100">
        <v>3.6600000000000001E-2</v>
      </c>
      <c r="D100">
        <v>0.09</v>
      </c>
      <c r="E100">
        <v>20290000</v>
      </c>
      <c r="F100">
        <v>2330000</v>
      </c>
      <c r="G100">
        <v>554190000</v>
      </c>
      <c r="H100">
        <f>Sheet1[[#This Row],[Volume (24h)]]/Sheet1[[#This Row],[Circulating Supply]]</f>
        <v>4.2043342535953371E-3</v>
      </c>
      <c r="I100">
        <f>RANK(Sheet1[[#This Row],[Market Cap]],Sheet1[Market Cap],0)</f>
        <v>98</v>
      </c>
      <c r="J100" t="str">
        <f t="shared" si="1"/>
        <v>0-0.5</v>
      </c>
    </row>
    <row r="101" spans="1:10" x14ac:dyDescent="0.3">
      <c r="A101" t="s">
        <v>196</v>
      </c>
      <c r="B101" t="s">
        <v>197</v>
      </c>
      <c r="C101">
        <v>697.68</v>
      </c>
      <c r="D101">
        <v>0.08</v>
      </c>
      <c r="E101">
        <v>20290000</v>
      </c>
      <c r="F101">
        <v>152840</v>
      </c>
      <c r="G101">
        <v>29080</v>
      </c>
      <c r="H101">
        <f>Sheet1[[#This Row],[Volume (24h)]]/Sheet1[[#This Row],[Circulating Supply]]</f>
        <v>5.2558459422283352</v>
      </c>
      <c r="I101">
        <f>RANK(Sheet1[[#This Row],[Market Cap]],Sheet1[Market Cap],0)</f>
        <v>98</v>
      </c>
      <c r="J101" t="str">
        <f t="shared" si="1"/>
        <v>0-0.5</v>
      </c>
    </row>
    <row r="102" spans="1:10" x14ac:dyDescent="0.3">
      <c r="A102" t="s">
        <v>198</v>
      </c>
      <c r="B102" t="s">
        <v>199</v>
      </c>
      <c r="C102">
        <v>1.6999999999999999E-3</v>
      </c>
      <c r="D102">
        <v>0.1</v>
      </c>
      <c r="E102">
        <v>20150000</v>
      </c>
      <c r="F102">
        <v>13630</v>
      </c>
      <c r="G102">
        <v>11750000000</v>
      </c>
      <c r="H102">
        <f>Sheet1[[#This Row],[Volume (24h)]]/Sheet1[[#This Row],[Circulating Supply]]</f>
        <v>1.1599999999999999E-6</v>
      </c>
      <c r="I102">
        <f>RANK(Sheet1[[#This Row],[Market Cap]],Sheet1[Market Cap],0)</f>
        <v>100</v>
      </c>
      <c r="J102" t="str">
        <f t="shared" si="1"/>
        <v>0-0.5</v>
      </c>
    </row>
    <row r="103" spans="1:10" x14ac:dyDescent="0.3">
      <c r="A103" t="s">
        <v>200</v>
      </c>
      <c r="B103" t="s">
        <v>201</v>
      </c>
      <c r="C103">
        <v>8.0399999999999999E-2</v>
      </c>
      <c r="D103">
        <v>0.38</v>
      </c>
      <c r="E103">
        <v>20110000</v>
      </c>
      <c r="F103">
        <v>4120000</v>
      </c>
      <c r="G103">
        <v>250000000</v>
      </c>
      <c r="H103">
        <f>Sheet1[[#This Row],[Volume (24h)]]/Sheet1[[#This Row],[Circulating Supply]]</f>
        <v>1.6480000000000002E-2</v>
      </c>
      <c r="I103">
        <f>RANK(Sheet1[[#This Row],[Market Cap]],Sheet1[Market Cap],0)</f>
        <v>101</v>
      </c>
      <c r="J103" t="str">
        <f t="shared" si="1"/>
        <v>0-0.5</v>
      </c>
    </row>
    <row r="104" spans="1:10" x14ac:dyDescent="0.3">
      <c r="A104" t="s">
        <v>202</v>
      </c>
      <c r="B104" t="s">
        <v>203</v>
      </c>
      <c r="C104">
        <v>0.12959999999999999</v>
      </c>
      <c r="D104">
        <v>0.18</v>
      </c>
      <c r="E104">
        <v>20090000</v>
      </c>
      <c r="F104">
        <v>432160</v>
      </c>
      <c r="G104">
        <v>155000000</v>
      </c>
      <c r="H104">
        <f>Sheet1[[#This Row],[Volume (24h)]]/Sheet1[[#This Row],[Circulating Supply]]</f>
        <v>2.7881290322580646E-3</v>
      </c>
      <c r="I104">
        <f>RANK(Sheet1[[#This Row],[Market Cap]],Sheet1[Market Cap],0)</f>
        <v>102</v>
      </c>
      <c r="J104" t="str">
        <f t="shared" si="1"/>
        <v>0-0.5</v>
      </c>
    </row>
    <row r="105" spans="1:10" x14ac:dyDescent="0.3">
      <c r="A105" t="s">
        <v>204</v>
      </c>
      <c r="B105" t="s">
        <v>205</v>
      </c>
      <c r="C105">
        <v>5.7999999999999996E-3</v>
      </c>
      <c r="D105">
        <v>0.1</v>
      </c>
      <c r="E105">
        <v>20060000</v>
      </c>
      <c r="F105">
        <v>10970</v>
      </c>
      <c r="G105">
        <v>3460000000</v>
      </c>
      <c r="H105">
        <f>Sheet1[[#This Row],[Volume (24h)]]/Sheet1[[#This Row],[Circulating Supply]]</f>
        <v>3.1705202312138726E-6</v>
      </c>
      <c r="I105">
        <f>RANK(Sheet1[[#This Row],[Market Cap]],Sheet1[Market Cap],0)</f>
        <v>103</v>
      </c>
      <c r="J105" t="str">
        <f t="shared" si="1"/>
        <v>0-0.5</v>
      </c>
    </row>
    <row r="106" spans="1:10" x14ac:dyDescent="0.3">
      <c r="A106" t="s">
        <v>206</v>
      </c>
      <c r="B106" t="s">
        <v>207</v>
      </c>
      <c r="C106">
        <v>4.2000000000000003E-2</v>
      </c>
      <c r="D106">
        <v>0.09</v>
      </c>
      <c r="E106">
        <v>20010000</v>
      </c>
      <c r="F106">
        <v>430340</v>
      </c>
      <c r="G106">
        <v>477120000</v>
      </c>
      <c r="H106">
        <f>Sheet1[[#This Row],[Volume (24h)]]/Sheet1[[#This Row],[Circulating Supply]]</f>
        <v>9.0195338698859822E-4</v>
      </c>
      <c r="I106">
        <f>RANK(Sheet1[[#This Row],[Market Cap]],Sheet1[Market Cap],0)</f>
        <v>104</v>
      </c>
      <c r="J106" t="str">
        <f t="shared" si="1"/>
        <v>0-0.5</v>
      </c>
    </row>
    <row r="107" spans="1:10" x14ac:dyDescent="0.3">
      <c r="A107" t="s">
        <v>208</v>
      </c>
      <c r="B107" t="s">
        <v>209</v>
      </c>
      <c r="C107">
        <v>8.0000000000000002E-3</v>
      </c>
      <c r="D107">
        <v>2.62</v>
      </c>
      <c r="E107">
        <v>16010000</v>
      </c>
      <c r="F107">
        <v>1280000</v>
      </c>
      <c r="G107">
        <v>1990000000</v>
      </c>
      <c r="H107">
        <f>Sheet1[[#This Row],[Volume (24h)]]/Sheet1[[#This Row],[Circulating Supply]]</f>
        <v>6.4321608040201008E-4</v>
      </c>
      <c r="I107">
        <f>RANK(Sheet1[[#This Row],[Market Cap]],Sheet1[Market Cap],0)</f>
        <v>105</v>
      </c>
      <c r="J107" t="str">
        <f t="shared" si="1"/>
        <v>0-0.5</v>
      </c>
    </row>
    <row r="108" spans="1:10" x14ac:dyDescent="0.3">
      <c r="A108" t="s">
        <v>210</v>
      </c>
      <c r="B108" t="s">
        <v>210</v>
      </c>
      <c r="C108">
        <v>2.2700000000000001E-2</v>
      </c>
      <c r="D108">
        <v>0.92</v>
      </c>
      <c r="E108">
        <v>15890000</v>
      </c>
      <c r="F108">
        <v>1670000</v>
      </c>
      <c r="G108">
        <v>700000000</v>
      </c>
      <c r="H108">
        <f>Sheet1[[#This Row],[Volume (24h)]]/Sheet1[[#This Row],[Circulating Supply]]</f>
        <v>2.3857142857142857E-3</v>
      </c>
      <c r="I108">
        <f>RANK(Sheet1[[#This Row],[Market Cap]],Sheet1[Market Cap],0)</f>
        <v>106</v>
      </c>
      <c r="J108" t="str">
        <f t="shared" si="1"/>
        <v>0-0.5</v>
      </c>
    </row>
    <row r="109" spans="1:10" x14ac:dyDescent="0.3">
      <c r="A109" t="s">
        <v>211</v>
      </c>
      <c r="B109" t="s">
        <v>212</v>
      </c>
      <c r="C109">
        <v>8.2000000000000007E-3</v>
      </c>
      <c r="D109">
        <v>0.83</v>
      </c>
      <c r="E109">
        <v>15880000</v>
      </c>
      <c r="F109">
        <v>1700000</v>
      </c>
      <c r="G109">
        <v>1940000000</v>
      </c>
      <c r="H109">
        <f>Sheet1[[#This Row],[Volume (24h)]]/Sheet1[[#This Row],[Circulating Supply]]</f>
        <v>8.7628865979381444E-4</v>
      </c>
      <c r="I109">
        <f>RANK(Sheet1[[#This Row],[Market Cap]],Sheet1[Market Cap],0)</f>
        <v>107</v>
      </c>
      <c r="J109" t="str">
        <f t="shared" si="1"/>
        <v>0-0.5</v>
      </c>
    </row>
    <row r="110" spans="1:10" x14ac:dyDescent="0.3">
      <c r="A110" t="s">
        <v>213</v>
      </c>
      <c r="B110" t="s">
        <v>214</v>
      </c>
      <c r="C110">
        <v>8.9999999999999998E-4</v>
      </c>
      <c r="D110">
        <v>0.01</v>
      </c>
      <c r="E110">
        <v>15860000</v>
      </c>
      <c r="F110">
        <v>101.67</v>
      </c>
      <c r="G110">
        <v>16700000000</v>
      </c>
      <c r="H110">
        <f>Sheet1[[#This Row],[Volume (24h)]]/Sheet1[[#This Row],[Circulating Supply]]</f>
        <v>6.0880239520958083E-9</v>
      </c>
      <c r="I110">
        <f>RANK(Sheet1[[#This Row],[Market Cap]],Sheet1[Market Cap],0)</f>
        <v>108</v>
      </c>
      <c r="J110" t="str">
        <f t="shared" si="1"/>
        <v>0-0.5</v>
      </c>
    </row>
    <row r="111" spans="1:10" x14ac:dyDescent="0.3">
      <c r="A111" t="s">
        <v>215</v>
      </c>
      <c r="B111" t="s">
        <v>216</v>
      </c>
      <c r="C111">
        <v>4.0000000000000002E-4</v>
      </c>
      <c r="D111">
        <v>0.05</v>
      </c>
      <c r="E111">
        <v>15840000</v>
      </c>
      <c r="F111">
        <v>15290</v>
      </c>
      <c r="G111">
        <v>36250000000</v>
      </c>
      <c r="H111">
        <f>Sheet1[[#This Row],[Volume (24h)]]/Sheet1[[#This Row],[Circulating Supply]]</f>
        <v>4.2179310344827588E-7</v>
      </c>
      <c r="I111">
        <f>RANK(Sheet1[[#This Row],[Market Cap]],Sheet1[Market Cap],0)</f>
        <v>109</v>
      </c>
      <c r="J111" t="str">
        <f t="shared" si="1"/>
        <v>0-0.5</v>
      </c>
    </row>
    <row r="112" spans="1:10" x14ac:dyDescent="0.3">
      <c r="A112" t="s">
        <v>217</v>
      </c>
      <c r="B112" t="s">
        <v>218</v>
      </c>
      <c r="C112">
        <v>2.0000000000000001E-4</v>
      </c>
      <c r="D112">
        <v>0.06</v>
      </c>
      <c r="E112">
        <v>15820000</v>
      </c>
      <c r="F112">
        <v>3020000</v>
      </c>
      <c r="G112">
        <v>66430000000</v>
      </c>
      <c r="H112">
        <f>Sheet1[[#This Row],[Volume (24h)]]/Sheet1[[#This Row],[Circulating Supply]]</f>
        <v>4.5461387927141355E-5</v>
      </c>
      <c r="I112">
        <f>RANK(Sheet1[[#This Row],[Market Cap]],Sheet1[Market Cap],0)</f>
        <v>110</v>
      </c>
      <c r="J112" t="str">
        <f t="shared" si="1"/>
        <v>0-0.5</v>
      </c>
    </row>
    <row r="113" spans="1:10" x14ac:dyDescent="0.3">
      <c r="A113" t="s">
        <v>219</v>
      </c>
      <c r="B113" t="s">
        <v>220</v>
      </c>
      <c r="C113">
        <v>1.7299999999999999E-2</v>
      </c>
      <c r="D113">
        <v>0.53</v>
      </c>
      <c r="E113">
        <v>15800000</v>
      </c>
      <c r="F113">
        <v>916720</v>
      </c>
      <c r="G113">
        <v>915200000</v>
      </c>
      <c r="H113">
        <f>Sheet1[[#This Row],[Volume (24h)]]/Sheet1[[#This Row],[Circulating Supply]]</f>
        <v>1.0016608391608393E-3</v>
      </c>
      <c r="I113">
        <f>RANK(Sheet1[[#This Row],[Market Cap]],Sheet1[Market Cap],0)</f>
        <v>111</v>
      </c>
      <c r="J113" t="str">
        <f t="shared" si="1"/>
        <v>0-0.5</v>
      </c>
    </row>
    <row r="114" spans="1:10" x14ac:dyDescent="0.3">
      <c r="A114" t="s">
        <v>221</v>
      </c>
      <c r="B114" t="s">
        <v>222</v>
      </c>
      <c r="C114">
        <v>3.6400000000000002E-2</v>
      </c>
      <c r="D114">
        <v>0.05</v>
      </c>
      <c r="E114">
        <v>15790000</v>
      </c>
      <c r="F114">
        <v>6260000</v>
      </c>
      <c r="G114">
        <v>434300000</v>
      </c>
      <c r="H114">
        <f>Sheet1[[#This Row],[Volume (24h)]]/Sheet1[[#This Row],[Circulating Supply]]</f>
        <v>1.4413999539488832E-2</v>
      </c>
      <c r="I114">
        <f>RANK(Sheet1[[#This Row],[Market Cap]],Sheet1[Market Cap],0)</f>
        <v>112</v>
      </c>
      <c r="J114" t="str">
        <f t="shared" si="1"/>
        <v>0-0.5</v>
      </c>
    </row>
    <row r="115" spans="1:10" x14ac:dyDescent="0.3">
      <c r="A115" t="s">
        <v>223</v>
      </c>
      <c r="B115" t="s">
        <v>224</v>
      </c>
      <c r="C115">
        <v>187.9</v>
      </c>
      <c r="D115">
        <v>1.04</v>
      </c>
      <c r="E115">
        <v>15660000</v>
      </c>
      <c r="F115">
        <v>1740000</v>
      </c>
      <c r="G115">
        <v>83360</v>
      </c>
      <c r="H115">
        <f>Sheet1[[#This Row],[Volume (24h)]]/Sheet1[[#This Row],[Circulating Supply]]</f>
        <v>20.873320537428022</v>
      </c>
      <c r="I115">
        <f>RANK(Sheet1[[#This Row],[Market Cap]],Sheet1[Market Cap],0)</f>
        <v>113</v>
      </c>
      <c r="J115" t="str">
        <f t="shared" si="1"/>
        <v>0-0.5</v>
      </c>
    </row>
    <row r="116" spans="1:10" x14ac:dyDescent="0.3">
      <c r="A116" t="s">
        <v>225</v>
      </c>
      <c r="B116" t="s">
        <v>225</v>
      </c>
      <c r="C116">
        <v>7.9000000000000008E-3</v>
      </c>
      <c r="D116">
        <v>4.3499999999999996</v>
      </c>
      <c r="E116">
        <v>15580000</v>
      </c>
      <c r="F116">
        <v>1000000</v>
      </c>
      <c r="G116">
        <v>1970000000</v>
      </c>
      <c r="H116">
        <f>Sheet1[[#This Row],[Volume (24h)]]/Sheet1[[#This Row],[Circulating Supply]]</f>
        <v>5.0761421319796957E-4</v>
      </c>
      <c r="I116">
        <f>RANK(Sheet1[[#This Row],[Market Cap]],Sheet1[Market Cap],0)</f>
        <v>114</v>
      </c>
      <c r="J116" t="str">
        <f t="shared" si="1"/>
        <v>0-0.5</v>
      </c>
    </row>
    <row r="117" spans="1:10" x14ac:dyDescent="0.3">
      <c r="A117" t="s">
        <v>226</v>
      </c>
      <c r="B117" t="s">
        <v>227</v>
      </c>
      <c r="C117">
        <v>6.7699999999999996E-2</v>
      </c>
      <c r="D117">
        <v>0.88</v>
      </c>
      <c r="E117">
        <v>15570000</v>
      </c>
      <c r="F117">
        <v>3100000</v>
      </c>
      <c r="G117">
        <v>230000000</v>
      </c>
      <c r="H117">
        <f>Sheet1[[#This Row],[Volume (24h)]]/Sheet1[[#This Row],[Circulating Supply]]</f>
        <v>1.3478260869565217E-2</v>
      </c>
      <c r="I117">
        <f>RANK(Sheet1[[#This Row],[Market Cap]],Sheet1[Market Cap],0)</f>
        <v>115</v>
      </c>
      <c r="J117" t="str">
        <f t="shared" si="1"/>
        <v>0-0.5</v>
      </c>
    </row>
    <row r="118" spans="1:10" x14ac:dyDescent="0.3">
      <c r="A118" t="s">
        <v>228</v>
      </c>
      <c r="B118" t="s">
        <v>229</v>
      </c>
      <c r="C118">
        <v>3.2000000000000002E-3</v>
      </c>
      <c r="D118">
        <v>0.54</v>
      </c>
      <c r="E118">
        <v>15550000</v>
      </c>
      <c r="F118">
        <v>1770000</v>
      </c>
      <c r="G118">
        <v>4830000000</v>
      </c>
      <c r="H118">
        <f>Sheet1[[#This Row],[Volume (24h)]]/Sheet1[[#This Row],[Circulating Supply]]</f>
        <v>3.6645962732919252E-4</v>
      </c>
      <c r="I118">
        <f>RANK(Sheet1[[#This Row],[Market Cap]],Sheet1[Market Cap],0)</f>
        <v>116</v>
      </c>
      <c r="J118" t="str">
        <f t="shared" si="1"/>
        <v>0-0.5</v>
      </c>
    </row>
    <row r="119" spans="1:10" x14ac:dyDescent="0.3">
      <c r="A119" t="s">
        <v>230</v>
      </c>
      <c r="B119" t="s">
        <v>231</v>
      </c>
      <c r="C119">
        <v>0.40110000000000001</v>
      </c>
      <c r="D119">
        <v>0.2</v>
      </c>
      <c r="E119">
        <v>15540000</v>
      </c>
      <c r="F119">
        <v>84600</v>
      </c>
      <c r="G119">
        <v>38740000</v>
      </c>
      <c r="H119">
        <f>Sheet1[[#This Row],[Volume (24h)]]/Sheet1[[#This Row],[Circulating Supply]]</f>
        <v>2.1837893649974188E-3</v>
      </c>
      <c r="I119">
        <f>RANK(Sheet1[[#This Row],[Market Cap]],Sheet1[Market Cap],0)</f>
        <v>117</v>
      </c>
      <c r="J119" t="str">
        <f t="shared" si="1"/>
        <v>0-0.5</v>
      </c>
    </row>
    <row r="120" spans="1:10" x14ac:dyDescent="0.3">
      <c r="A120" t="s">
        <v>232</v>
      </c>
      <c r="B120" t="s">
        <v>233</v>
      </c>
      <c r="C120">
        <v>0.11890000000000001</v>
      </c>
      <c r="D120">
        <v>0.92</v>
      </c>
      <c r="E120">
        <v>15350000</v>
      </c>
      <c r="F120">
        <v>1810000</v>
      </c>
      <c r="G120">
        <v>129100000</v>
      </c>
      <c r="H120">
        <f>Sheet1[[#This Row],[Volume (24h)]]/Sheet1[[#This Row],[Circulating Supply]]</f>
        <v>1.4020139426800929E-2</v>
      </c>
      <c r="I120">
        <f>RANK(Sheet1[[#This Row],[Market Cap]],Sheet1[Market Cap],0)</f>
        <v>118</v>
      </c>
      <c r="J120" t="str">
        <f t="shared" si="1"/>
        <v>0-0.5</v>
      </c>
    </row>
    <row r="121" spans="1:10" x14ac:dyDescent="0.3">
      <c r="A121" t="s">
        <v>234</v>
      </c>
      <c r="B121" t="s">
        <v>235</v>
      </c>
      <c r="C121">
        <v>8.0000000000000004E-4</v>
      </c>
      <c r="D121">
        <v>0.24</v>
      </c>
      <c r="E121">
        <v>15300000</v>
      </c>
      <c r="F121">
        <v>301660</v>
      </c>
      <c r="G121">
        <v>19200000000</v>
      </c>
      <c r="H121">
        <f>Sheet1[[#This Row],[Volume (24h)]]/Sheet1[[#This Row],[Circulating Supply]]</f>
        <v>1.5711458333333332E-5</v>
      </c>
      <c r="I121">
        <f>RANK(Sheet1[[#This Row],[Market Cap]],Sheet1[Market Cap],0)</f>
        <v>119</v>
      </c>
      <c r="J121" t="str">
        <f t="shared" si="1"/>
        <v>0-0.5</v>
      </c>
    </row>
    <row r="122" spans="1:10" x14ac:dyDescent="0.3">
      <c r="A122" t="s">
        <v>236</v>
      </c>
      <c r="B122" t="s">
        <v>237</v>
      </c>
      <c r="C122">
        <v>1.6799999999999999E-2</v>
      </c>
      <c r="D122">
        <v>0.78</v>
      </c>
      <c r="E122">
        <v>12160000</v>
      </c>
      <c r="F122">
        <v>474110</v>
      </c>
      <c r="G122">
        <v>724750000</v>
      </c>
      <c r="H122">
        <f>Sheet1[[#This Row],[Volume (24h)]]/Sheet1[[#This Row],[Circulating Supply]]</f>
        <v>6.5417040358744399E-4</v>
      </c>
      <c r="I122">
        <f>RANK(Sheet1[[#This Row],[Market Cap]],Sheet1[Market Cap],0)</f>
        <v>120</v>
      </c>
      <c r="J122" t="str">
        <f t="shared" si="1"/>
        <v>0-0.5</v>
      </c>
    </row>
    <row r="123" spans="1:10" x14ac:dyDescent="0.3">
      <c r="A123" t="s">
        <v>238</v>
      </c>
      <c r="B123" t="s">
        <v>239</v>
      </c>
      <c r="C123">
        <v>0.64429999999999998</v>
      </c>
      <c r="D123">
        <v>1.23</v>
      </c>
      <c r="E123">
        <v>12150000</v>
      </c>
      <c r="F123">
        <v>249700</v>
      </c>
      <c r="G123">
        <v>18860000</v>
      </c>
      <c r="H123">
        <f>Sheet1[[#This Row],[Volume (24h)]]/Sheet1[[#This Row],[Circulating Supply]]</f>
        <v>1.323966065747614E-2</v>
      </c>
      <c r="I123">
        <f>RANK(Sheet1[[#This Row],[Market Cap]],Sheet1[Market Cap],0)</f>
        <v>121</v>
      </c>
      <c r="J123" t="str">
        <f t="shared" si="1"/>
        <v>0-0.5</v>
      </c>
    </row>
    <row r="124" spans="1:10" x14ac:dyDescent="0.3">
      <c r="A124" t="s">
        <v>240</v>
      </c>
      <c r="B124" t="s">
        <v>241</v>
      </c>
      <c r="C124">
        <v>16.260000000000002</v>
      </c>
      <c r="D124">
        <v>0.17</v>
      </c>
      <c r="E124">
        <v>12090000</v>
      </c>
      <c r="F124">
        <v>249160</v>
      </c>
      <c r="G124">
        <v>743820</v>
      </c>
      <c r="H124">
        <f>Sheet1[[#This Row],[Volume (24h)]]/Sheet1[[#This Row],[Circulating Supply]]</f>
        <v>0.33497351509773871</v>
      </c>
      <c r="I124">
        <f>RANK(Sheet1[[#This Row],[Market Cap]],Sheet1[Market Cap],0)</f>
        <v>122</v>
      </c>
      <c r="J124" t="str">
        <f t="shared" si="1"/>
        <v>0-0.5</v>
      </c>
    </row>
    <row r="125" spans="1:10" x14ac:dyDescent="0.3">
      <c r="A125" t="s">
        <v>242</v>
      </c>
      <c r="B125" t="s">
        <v>243</v>
      </c>
      <c r="C125">
        <v>1.21E-2</v>
      </c>
      <c r="D125">
        <v>0.05</v>
      </c>
      <c r="E125">
        <v>12050000</v>
      </c>
      <c r="F125">
        <v>247740</v>
      </c>
      <c r="G125">
        <v>998150000</v>
      </c>
      <c r="H125">
        <f>Sheet1[[#This Row],[Volume (24h)]]/Sheet1[[#This Row],[Circulating Supply]]</f>
        <v>2.4819916846165408E-4</v>
      </c>
      <c r="I125">
        <f>RANK(Sheet1[[#This Row],[Market Cap]],Sheet1[Market Cap],0)</f>
        <v>123</v>
      </c>
      <c r="J125" t="str">
        <f t="shared" si="1"/>
        <v>0-0.5</v>
      </c>
    </row>
    <row r="126" spans="1:10" x14ac:dyDescent="0.3">
      <c r="A126" t="s">
        <v>244</v>
      </c>
      <c r="B126" t="s">
        <v>245</v>
      </c>
      <c r="C126">
        <v>0.20369999999999999</v>
      </c>
      <c r="D126">
        <v>0.26</v>
      </c>
      <c r="E126">
        <v>12030000</v>
      </c>
      <c r="F126">
        <v>3220000</v>
      </c>
      <c r="G126">
        <v>59070000</v>
      </c>
      <c r="H126">
        <f>Sheet1[[#This Row],[Volume (24h)]]/Sheet1[[#This Row],[Circulating Supply]]</f>
        <v>5.4511596411037755E-2</v>
      </c>
      <c r="I126">
        <f>RANK(Sheet1[[#This Row],[Market Cap]],Sheet1[Market Cap],0)</f>
        <v>124</v>
      </c>
      <c r="J126" t="str">
        <f t="shared" si="1"/>
        <v>0-0.5</v>
      </c>
    </row>
    <row r="127" spans="1:10" x14ac:dyDescent="0.3">
      <c r="A127" t="s">
        <v>246</v>
      </c>
      <c r="B127" t="s">
        <v>247</v>
      </c>
      <c r="C127">
        <v>6.8999999999999999E-3</v>
      </c>
      <c r="D127">
        <v>0</v>
      </c>
      <c r="E127">
        <v>12010000</v>
      </c>
      <c r="F127">
        <v>45910</v>
      </c>
      <c r="G127">
        <v>1740000000</v>
      </c>
      <c r="H127">
        <f>Sheet1[[#This Row],[Volume (24h)]]/Sheet1[[#This Row],[Circulating Supply]]</f>
        <v>2.6385057471264366E-5</v>
      </c>
      <c r="I127">
        <f>RANK(Sheet1[[#This Row],[Market Cap]],Sheet1[Market Cap],0)</f>
        <v>125</v>
      </c>
      <c r="J127" t="str">
        <f t="shared" si="1"/>
        <v>0-0.5</v>
      </c>
    </row>
    <row r="128" spans="1:10" x14ac:dyDescent="0.3">
      <c r="A128" t="s">
        <v>248</v>
      </c>
      <c r="B128" t="s">
        <v>249</v>
      </c>
      <c r="C128">
        <v>92.99</v>
      </c>
      <c r="D128">
        <v>0.77</v>
      </c>
      <c r="E128">
        <v>11960000</v>
      </c>
      <c r="F128">
        <v>8480000</v>
      </c>
      <c r="G128">
        <v>128690</v>
      </c>
      <c r="H128">
        <f>Sheet1[[#This Row],[Volume (24h)]]/Sheet1[[#This Row],[Circulating Supply]]</f>
        <v>65.894785919651881</v>
      </c>
      <c r="I128">
        <f>RANK(Sheet1[[#This Row],[Market Cap]],Sheet1[Market Cap],0)</f>
        <v>126</v>
      </c>
      <c r="J128" t="str">
        <f t="shared" si="1"/>
        <v>0-0.5</v>
      </c>
    </row>
    <row r="129" spans="1:10" x14ac:dyDescent="0.3">
      <c r="A129" t="s">
        <v>250</v>
      </c>
      <c r="B129" t="s">
        <v>250</v>
      </c>
      <c r="C129">
        <v>0.99690000000000001</v>
      </c>
      <c r="D129">
        <v>0.24</v>
      </c>
      <c r="E129">
        <v>11960000</v>
      </c>
      <c r="F129">
        <v>7690</v>
      </c>
      <c r="G129">
        <v>12000000</v>
      </c>
      <c r="H129">
        <f>Sheet1[[#This Row],[Volume (24h)]]/Sheet1[[#This Row],[Circulating Supply]]</f>
        <v>6.4083333333333332E-4</v>
      </c>
      <c r="I129">
        <f>RANK(Sheet1[[#This Row],[Market Cap]],Sheet1[Market Cap],0)</f>
        <v>126</v>
      </c>
      <c r="J129" t="str">
        <f t="shared" si="1"/>
        <v>0-0.5</v>
      </c>
    </row>
    <row r="130" spans="1:10" x14ac:dyDescent="0.3">
      <c r="A130" t="s">
        <v>251</v>
      </c>
      <c r="B130" t="s">
        <v>252</v>
      </c>
      <c r="C130">
        <v>75.760000000000005</v>
      </c>
      <c r="D130">
        <v>0.13</v>
      </c>
      <c r="E130">
        <v>11940000</v>
      </c>
      <c r="F130">
        <v>1050000</v>
      </c>
      <c r="G130">
        <v>157710</v>
      </c>
      <c r="H130">
        <f>Sheet1[[#This Row],[Volume (24h)]]/Sheet1[[#This Row],[Circulating Supply]]</f>
        <v>6.6577896138482027</v>
      </c>
      <c r="I130">
        <f>RANK(Sheet1[[#This Row],[Market Cap]],Sheet1[Market Cap],0)</f>
        <v>128</v>
      </c>
      <c r="J130" t="str">
        <f t="shared" ref="J130:J193" si="2">IF(C340&lt;=0.5,"0-0.5",
IF(C340&lt;=1,"0.5-1",
IF(C340&lt;=2,"1-2",
IF(C340&lt;=10,"2-10",
IF(C340&lt;=100,"10-100",
IF(C340&lt;=10000,"100-10000",
"10000+"))))))</f>
        <v>0-0.5</v>
      </c>
    </row>
    <row r="131" spans="1:10" x14ac:dyDescent="0.3">
      <c r="A131" t="s">
        <v>253</v>
      </c>
      <c r="B131" t="s">
        <v>254</v>
      </c>
      <c r="C131">
        <v>2.5</v>
      </c>
      <c r="D131">
        <v>0.25</v>
      </c>
      <c r="E131">
        <v>11930000</v>
      </c>
      <c r="F131">
        <v>2320000</v>
      </c>
      <c r="G131">
        <v>4750000</v>
      </c>
      <c r="H131">
        <f>Sheet1[[#This Row],[Volume (24h)]]/Sheet1[[#This Row],[Circulating Supply]]</f>
        <v>0.48842105263157892</v>
      </c>
      <c r="I131">
        <f>RANK(Sheet1[[#This Row],[Market Cap]],Sheet1[Market Cap],0)</f>
        <v>129</v>
      </c>
      <c r="J131" t="str">
        <f t="shared" si="2"/>
        <v>0-0.5</v>
      </c>
    </row>
    <row r="132" spans="1:10" x14ac:dyDescent="0.3">
      <c r="A132" t="s">
        <v>255</v>
      </c>
      <c r="B132" t="s">
        <v>256</v>
      </c>
      <c r="C132">
        <v>1.29E-2</v>
      </c>
      <c r="D132">
        <v>0.24</v>
      </c>
      <c r="E132">
        <v>11860000</v>
      </c>
      <c r="F132">
        <v>17920</v>
      </c>
      <c r="G132">
        <v>916780000</v>
      </c>
      <c r="H132">
        <f>Sheet1[[#This Row],[Volume (24h)]]/Sheet1[[#This Row],[Circulating Supply]]</f>
        <v>1.9546674229368007E-5</v>
      </c>
      <c r="I132">
        <f>RANK(Sheet1[[#This Row],[Market Cap]],Sheet1[Market Cap],0)</f>
        <v>130</v>
      </c>
      <c r="J132" t="str">
        <f t="shared" si="2"/>
        <v>0-0.5</v>
      </c>
    </row>
    <row r="133" spans="1:10" x14ac:dyDescent="0.3">
      <c r="A133" t="s">
        <v>257</v>
      </c>
      <c r="B133" t="s">
        <v>258</v>
      </c>
      <c r="C133">
        <v>1.1900000000000001E-2</v>
      </c>
      <c r="D133">
        <v>3.06</v>
      </c>
      <c r="E133">
        <v>11820000</v>
      </c>
      <c r="F133">
        <v>3350000</v>
      </c>
      <c r="G133">
        <v>997210000</v>
      </c>
      <c r="H133">
        <f>Sheet1[[#This Row],[Volume (24h)]]/Sheet1[[#This Row],[Circulating Supply]]</f>
        <v>3.3593726496926424E-3</v>
      </c>
      <c r="I133">
        <f>RANK(Sheet1[[#This Row],[Market Cap]],Sheet1[Market Cap],0)</f>
        <v>131</v>
      </c>
      <c r="J133" t="str">
        <f t="shared" si="2"/>
        <v>0-0.5</v>
      </c>
    </row>
    <row r="134" spans="1:10" x14ac:dyDescent="0.3">
      <c r="A134" t="s">
        <v>259</v>
      </c>
      <c r="B134" t="s">
        <v>260</v>
      </c>
      <c r="C134">
        <v>6.3200000000000006E-2</v>
      </c>
      <c r="D134">
        <v>0</v>
      </c>
      <c r="E134">
        <v>11780000</v>
      </c>
      <c r="G134">
        <v>186490000</v>
      </c>
      <c r="H134">
        <f>Sheet1[[#This Row],[Volume (24h)]]/Sheet1[[#This Row],[Circulating Supply]]</f>
        <v>0</v>
      </c>
      <c r="I134">
        <f>RANK(Sheet1[[#This Row],[Market Cap]],Sheet1[Market Cap],0)</f>
        <v>132</v>
      </c>
      <c r="J134" t="str">
        <f t="shared" si="2"/>
        <v>0-0.5</v>
      </c>
    </row>
    <row r="135" spans="1:10" x14ac:dyDescent="0.3">
      <c r="A135" t="s">
        <v>261</v>
      </c>
      <c r="B135" t="s">
        <v>261</v>
      </c>
      <c r="C135">
        <v>0.77969999999999995</v>
      </c>
      <c r="D135">
        <v>0.15</v>
      </c>
      <c r="E135">
        <v>11780000</v>
      </c>
      <c r="F135">
        <v>477190</v>
      </c>
      <c r="G135">
        <v>15110000</v>
      </c>
      <c r="H135">
        <f>Sheet1[[#This Row],[Volume (24h)]]/Sheet1[[#This Row],[Circulating Supply]]</f>
        <v>3.1581072137657179E-2</v>
      </c>
      <c r="I135">
        <f>RANK(Sheet1[[#This Row],[Market Cap]],Sheet1[Market Cap],0)</f>
        <v>132</v>
      </c>
      <c r="J135" t="str">
        <f t="shared" si="2"/>
        <v>0-0.5</v>
      </c>
    </row>
    <row r="136" spans="1:10" x14ac:dyDescent="0.3">
      <c r="A136" t="s">
        <v>262</v>
      </c>
      <c r="B136" t="s">
        <v>263</v>
      </c>
      <c r="C136">
        <v>310.04000000000002</v>
      </c>
      <c r="D136">
        <v>0.62</v>
      </c>
      <c r="E136">
        <v>11760000</v>
      </c>
      <c r="F136">
        <v>9000000</v>
      </c>
      <c r="G136">
        <v>37930</v>
      </c>
      <c r="H136">
        <f>Sheet1[[#This Row],[Volume (24h)]]/Sheet1[[#This Row],[Circulating Supply]]</f>
        <v>237.27919852359611</v>
      </c>
      <c r="I136">
        <f>RANK(Sheet1[[#This Row],[Market Cap]],Sheet1[Market Cap],0)</f>
        <v>134</v>
      </c>
      <c r="J136" t="str">
        <f t="shared" si="2"/>
        <v>0-0.5</v>
      </c>
    </row>
    <row r="137" spans="1:10" x14ac:dyDescent="0.3">
      <c r="A137" t="s">
        <v>264</v>
      </c>
      <c r="B137" t="s">
        <v>265</v>
      </c>
      <c r="C137">
        <v>1.3599999999999999E-2</v>
      </c>
      <c r="D137">
        <v>0.84</v>
      </c>
      <c r="E137">
        <v>9550000</v>
      </c>
      <c r="F137">
        <v>76.069999999999993</v>
      </c>
      <c r="G137">
        <v>703720000</v>
      </c>
      <c r="H137">
        <f>Sheet1[[#This Row],[Volume (24h)]]/Sheet1[[#This Row],[Circulating Supply]]</f>
        <v>1.0809697038594895E-7</v>
      </c>
      <c r="I137">
        <f>RANK(Sheet1[[#This Row],[Market Cap]],Sheet1[Market Cap],0)</f>
        <v>135</v>
      </c>
      <c r="J137" t="str">
        <f t="shared" si="2"/>
        <v>0-0.5</v>
      </c>
    </row>
    <row r="138" spans="1:10" x14ac:dyDescent="0.3">
      <c r="A138" t="s">
        <v>266</v>
      </c>
      <c r="B138" t="s">
        <v>267</v>
      </c>
      <c r="C138">
        <v>8.0000000000000002E-3</v>
      </c>
      <c r="D138">
        <v>0.42</v>
      </c>
      <c r="E138">
        <v>9430000</v>
      </c>
      <c r="F138">
        <v>1240000</v>
      </c>
      <c r="G138">
        <v>1170000000</v>
      </c>
      <c r="H138">
        <f>Sheet1[[#This Row],[Volume (24h)]]/Sheet1[[#This Row],[Circulating Supply]]</f>
        <v>1.0598290598290599E-3</v>
      </c>
      <c r="I138">
        <f>RANK(Sheet1[[#This Row],[Market Cap]],Sheet1[Market Cap],0)</f>
        <v>136</v>
      </c>
      <c r="J138" t="str">
        <f t="shared" si="2"/>
        <v>0-0.5</v>
      </c>
    </row>
    <row r="139" spans="1:10" x14ac:dyDescent="0.3">
      <c r="A139" t="s">
        <v>268</v>
      </c>
      <c r="B139" t="s">
        <v>269</v>
      </c>
      <c r="C139">
        <v>0.94079999999999997</v>
      </c>
      <c r="D139">
        <v>0.12</v>
      </c>
      <c r="E139">
        <v>9400000</v>
      </c>
      <c r="G139">
        <v>10000000</v>
      </c>
      <c r="H139">
        <f>Sheet1[[#This Row],[Volume (24h)]]/Sheet1[[#This Row],[Circulating Supply]]</f>
        <v>0</v>
      </c>
      <c r="I139">
        <f>RANK(Sheet1[[#This Row],[Market Cap]],Sheet1[Market Cap],0)</f>
        <v>137</v>
      </c>
      <c r="J139" t="str">
        <f t="shared" si="2"/>
        <v>0-0.5</v>
      </c>
    </row>
    <row r="140" spans="1:10" x14ac:dyDescent="0.3">
      <c r="A140" t="s">
        <v>270</v>
      </c>
      <c r="B140" t="s">
        <v>271</v>
      </c>
      <c r="C140">
        <v>5.1999999999999998E-3</v>
      </c>
      <c r="D140">
        <v>0.02</v>
      </c>
      <c r="E140">
        <v>9340000</v>
      </c>
      <c r="F140">
        <v>1330000</v>
      </c>
      <c r="G140">
        <v>1780000000</v>
      </c>
      <c r="H140">
        <f>Sheet1[[#This Row],[Volume (24h)]]/Sheet1[[#This Row],[Circulating Supply]]</f>
        <v>7.4719101123595501E-4</v>
      </c>
      <c r="I140">
        <f>RANK(Sheet1[[#This Row],[Market Cap]],Sheet1[Market Cap],0)</f>
        <v>138</v>
      </c>
      <c r="J140" t="str">
        <f t="shared" si="2"/>
        <v>0-0.5</v>
      </c>
    </row>
    <row r="141" spans="1:10" x14ac:dyDescent="0.3">
      <c r="A141" t="s">
        <v>272</v>
      </c>
      <c r="B141" t="s">
        <v>273</v>
      </c>
      <c r="C141">
        <v>1.8800000000000001E-2</v>
      </c>
      <c r="D141">
        <v>0.05</v>
      </c>
      <c r="E141">
        <v>9290000</v>
      </c>
      <c r="F141">
        <v>1000000</v>
      </c>
      <c r="G141">
        <v>493580000</v>
      </c>
      <c r="H141">
        <f>Sheet1[[#This Row],[Volume (24h)]]/Sheet1[[#This Row],[Circulating Supply]]</f>
        <v>2.0260140200170185E-3</v>
      </c>
      <c r="I141">
        <f>RANK(Sheet1[[#This Row],[Market Cap]],Sheet1[Market Cap],0)</f>
        <v>139</v>
      </c>
      <c r="J141" t="str">
        <f t="shared" si="2"/>
        <v>0-0.5</v>
      </c>
    </row>
    <row r="142" spans="1:10" x14ac:dyDescent="0.3">
      <c r="A142" t="s">
        <v>274</v>
      </c>
      <c r="B142" t="s">
        <v>275</v>
      </c>
      <c r="C142">
        <v>0.1129</v>
      </c>
      <c r="D142">
        <v>0.12</v>
      </c>
      <c r="E142">
        <v>9260000</v>
      </c>
      <c r="G142">
        <v>82070000</v>
      </c>
      <c r="H142">
        <f>Sheet1[[#This Row],[Volume (24h)]]/Sheet1[[#This Row],[Circulating Supply]]</f>
        <v>0</v>
      </c>
      <c r="I142">
        <f>RANK(Sheet1[[#This Row],[Market Cap]],Sheet1[Market Cap],0)</f>
        <v>140</v>
      </c>
      <c r="J142" t="str">
        <f t="shared" si="2"/>
        <v>0-0.5</v>
      </c>
    </row>
    <row r="143" spans="1:10" x14ac:dyDescent="0.3">
      <c r="A143" t="s">
        <v>276</v>
      </c>
      <c r="B143" t="s">
        <v>277</v>
      </c>
      <c r="C143">
        <v>1.6E-2</v>
      </c>
      <c r="D143">
        <v>0.21</v>
      </c>
      <c r="E143">
        <v>9210000</v>
      </c>
      <c r="F143">
        <v>256790</v>
      </c>
      <c r="G143">
        <v>574370000</v>
      </c>
      <c r="H143">
        <f>Sheet1[[#This Row],[Volume (24h)]]/Sheet1[[#This Row],[Circulating Supply]]</f>
        <v>4.4708114978149975E-4</v>
      </c>
      <c r="I143">
        <f>RANK(Sheet1[[#This Row],[Market Cap]],Sheet1[Market Cap],0)</f>
        <v>141</v>
      </c>
      <c r="J143" t="str">
        <f t="shared" si="2"/>
        <v>0-0.5</v>
      </c>
    </row>
    <row r="144" spans="1:10" x14ac:dyDescent="0.3">
      <c r="A144" t="s">
        <v>278</v>
      </c>
      <c r="B144" t="s">
        <v>279</v>
      </c>
      <c r="C144">
        <v>189.95</v>
      </c>
      <c r="D144">
        <v>0.19</v>
      </c>
      <c r="E144">
        <v>9200000</v>
      </c>
      <c r="F144">
        <v>6070000</v>
      </c>
      <c r="G144">
        <v>48480</v>
      </c>
      <c r="H144">
        <f>Sheet1[[#This Row],[Volume (24h)]]/Sheet1[[#This Row],[Circulating Supply]]</f>
        <v>125.20627062706271</v>
      </c>
      <c r="I144">
        <f>RANK(Sheet1[[#This Row],[Market Cap]],Sheet1[Market Cap],0)</f>
        <v>142</v>
      </c>
      <c r="J144" t="str">
        <f t="shared" si="2"/>
        <v>0-0.5</v>
      </c>
    </row>
    <row r="145" spans="1:10" x14ac:dyDescent="0.3">
      <c r="A145" t="s">
        <v>280</v>
      </c>
      <c r="B145" t="s">
        <v>281</v>
      </c>
      <c r="C145">
        <v>2.0799999999999999E-2</v>
      </c>
      <c r="D145">
        <v>0.02</v>
      </c>
      <c r="E145">
        <v>9200000</v>
      </c>
      <c r="F145">
        <v>2570000</v>
      </c>
      <c r="G145">
        <v>441620000</v>
      </c>
      <c r="H145">
        <f>Sheet1[[#This Row],[Volume (24h)]]/Sheet1[[#This Row],[Circulating Supply]]</f>
        <v>5.8194828132783838E-3</v>
      </c>
      <c r="I145">
        <f>RANK(Sheet1[[#This Row],[Market Cap]],Sheet1[Market Cap],0)</f>
        <v>142</v>
      </c>
      <c r="J145" t="str">
        <f t="shared" si="2"/>
        <v>0-0.5</v>
      </c>
    </row>
    <row r="146" spans="1:10" x14ac:dyDescent="0.3">
      <c r="A146" t="s">
        <v>282</v>
      </c>
      <c r="B146" t="s">
        <v>283</v>
      </c>
      <c r="C146">
        <v>5.11E-2</v>
      </c>
      <c r="D146">
        <v>0.33</v>
      </c>
      <c r="E146">
        <v>9180000</v>
      </c>
      <c r="F146">
        <v>5090000</v>
      </c>
      <c r="G146">
        <v>179640000</v>
      </c>
      <c r="H146">
        <f>Sheet1[[#This Row],[Volume (24h)]]/Sheet1[[#This Row],[Circulating Supply]]</f>
        <v>2.8334446671120016E-2</v>
      </c>
      <c r="I146">
        <f>RANK(Sheet1[[#This Row],[Market Cap]],Sheet1[Market Cap],0)</f>
        <v>144</v>
      </c>
      <c r="J146" t="str">
        <f t="shared" si="2"/>
        <v>0-0.5</v>
      </c>
    </row>
    <row r="147" spans="1:10" x14ac:dyDescent="0.3">
      <c r="A147" t="s">
        <v>284</v>
      </c>
      <c r="B147" t="s">
        <v>285</v>
      </c>
      <c r="C147">
        <v>3.2000000000000001E-2</v>
      </c>
      <c r="D147">
        <v>0.08</v>
      </c>
      <c r="E147">
        <v>9170000</v>
      </c>
      <c r="F147">
        <v>4110000</v>
      </c>
      <c r="G147">
        <v>286300000</v>
      </c>
      <c r="H147">
        <f>Sheet1[[#This Row],[Volume (24h)]]/Sheet1[[#This Row],[Circulating Supply]]</f>
        <v>1.4355571079287461E-2</v>
      </c>
      <c r="I147">
        <f>RANK(Sheet1[[#This Row],[Market Cap]],Sheet1[Market Cap],0)</f>
        <v>146</v>
      </c>
      <c r="J147" t="str">
        <f t="shared" si="2"/>
        <v>0-0.5</v>
      </c>
    </row>
    <row r="148" spans="1:10" x14ac:dyDescent="0.3">
      <c r="A148" t="s">
        <v>286</v>
      </c>
      <c r="B148" t="s">
        <v>287</v>
      </c>
      <c r="C148">
        <v>1.06</v>
      </c>
      <c r="D148">
        <v>0.06</v>
      </c>
      <c r="E148">
        <v>9170000</v>
      </c>
      <c r="F148">
        <v>223200</v>
      </c>
      <c r="G148">
        <v>8610000</v>
      </c>
      <c r="H148">
        <f>Sheet1[[#This Row],[Volume (24h)]]/Sheet1[[#This Row],[Circulating Supply]]</f>
        <v>2.5923344947735193E-2</v>
      </c>
      <c r="I148">
        <f>RANK(Sheet1[[#This Row],[Market Cap]],Sheet1[Market Cap],0)</f>
        <v>146</v>
      </c>
      <c r="J148" t="str">
        <f t="shared" si="2"/>
        <v>0-0.5</v>
      </c>
    </row>
    <row r="149" spans="1:10" x14ac:dyDescent="0.3">
      <c r="A149" t="s">
        <v>288</v>
      </c>
      <c r="B149" t="s">
        <v>289</v>
      </c>
      <c r="C149">
        <v>9.1999999999999998E-3</v>
      </c>
      <c r="D149">
        <v>0.85</v>
      </c>
      <c r="E149">
        <v>9180000</v>
      </c>
      <c r="F149">
        <v>7170000</v>
      </c>
      <c r="G149">
        <v>999940000</v>
      </c>
      <c r="H149">
        <f>Sheet1[[#This Row],[Volume (24h)]]/Sheet1[[#This Row],[Circulating Supply]]</f>
        <v>7.1704302258135486E-3</v>
      </c>
      <c r="I149">
        <f>RANK(Sheet1[[#This Row],[Market Cap]],Sheet1[Market Cap],0)</f>
        <v>144</v>
      </c>
      <c r="J149" t="str">
        <f t="shared" si="2"/>
        <v>0-0.5</v>
      </c>
    </row>
    <row r="150" spans="1:10" x14ac:dyDescent="0.3">
      <c r="A150" t="s">
        <v>290</v>
      </c>
      <c r="B150" t="s">
        <v>291</v>
      </c>
      <c r="C150">
        <v>7.6E-3</v>
      </c>
      <c r="D150">
        <v>0.05</v>
      </c>
      <c r="E150">
        <v>9150000</v>
      </c>
      <c r="F150">
        <v>3070000</v>
      </c>
      <c r="G150">
        <v>1200000000</v>
      </c>
      <c r="H150">
        <f>Sheet1[[#This Row],[Volume (24h)]]/Sheet1[[#This Row],[Circulating Supply]]</f>
        <v>2.5583333333333335E-3</v>
      </c>
      <c r="I150">
        <f>RANK(Sheet1[[#This Row],[Market Cap]],Sheet1[Market Cap],0)</f>
        <v>148</v>
      </c>
      <c r="J150" t="str">
        <f t="shared" si="2"/>
        <v>0-0.5</v>
      </c>
    </row>
    <row r="151" spans="1:10" x14ac:dyDescent="0.3">
      <c r="A151" t="s">
        <v>292</v>
      </c>
      <c r="B151" t="s">
        <v>293</v>
      </c>
      <c r="C151">
        <v>9.1999999999999998E-3</v>
      </c>
      <c r="D151">
        <v>0.08</v>
      </c>
      <c r="E151">
        <v>9150000</v>
      </c>
      <c r="F151">
        <v>463990</v>
      </c>
      <c r="G151">
        <v>999440000</v>
      </c>
      <c r="H151">
        <f>Sheet1[[#This Row],[Volume (24h)]]/Sheet1[[#This Row],[Circulating Supply]]</f>
        <v>4.6424997998879375E-4</v>
      </c>
      <c r="I151">
        <f>RANK(Sheet1[[#This Row],[Market Cap]],Sheet1[Market Cap],0)</f>
        <v>148</v>
      </c>
      <c r="J151" t="str">
        <f t="shared" si="2"/>
        <v>0-0.5</v>
      </c>
    </row>
    <row r="152" spans="1:10" x14ac:dyDescent="0.3">
      <c r="A152" t="s">
        <v>294</v>
      </c>
      <c r="B152" t="s">
        <v>295</v>
      </c>
      <c r="C152">
        <v>1.21E-2</v>
      </c>
      <c r="D152">
        <v>3.01</v>
      </c>
      <c r="E152">
        <v>7420000</v>
      </c>
      <c r="F152">
        <v>2370000</v>
      </c>
      <c r="G152">
        <v>611510000</v>
      </c>
      <c r="H152">
        <f>Sheet1[[#This Row],[Volume (24h)]]/Sheet1[[#This Row],[Circulating Supply]]</f>
        <v>3.8756520743732726E-3</v>
      </c>
      <c r="I152">
        <f>RANK(Sheet1[[#This Row],[Market Cap]],Sheet1[Market Cap],0)</f>
        <v>150</v>
      </c>
      <c r="J152" t="str">
        <f t="shared" si="2"/>
        <v>0-0.5</v>
      </c>
    </row>
    <row r="153" spans="1:10" x14ac:dyDescent="0.3">
      <c r="A153" t="s">
        <v>296</v>
      </c>
      <c r="B153" t="s">
        <v>297</v>
      </c>
      <c r="C153">
        <v>0.84689999999999999</v>
      </c>
      <c r="D153">
        <v>0.28000000000000003</v>
      </c>
      <c r="E153">
        <v>7390000</v>
      </c>
      <c r="F153">
        <v>3250000</v>
      </c>
      <c r="G153">
        <v>8730000</v>
      </c>
      <c r="H153">
        <f>Sheet1[[#This Row],[Volume (24h)]]/Sheet1[[#This Row],[Circulating Supply]]</f>
        <v>0.37227949599083621</v>
      </c>
      <c r="I153">
        <f>RANK(Sheet1[[#This Row],[Market Cap]],Sheet1[Market Cap],0)</f>
        <v>151</v>
      </c>
      <c r="J153" t="str">
        <f t="shared" si="2"/>
        <v>0-0.5</v>
      </c>
    </row>
    <row r="154" spans="1:10" x14ac:dyDescent="0.3">
      <c r="A154" t="s">
        <v>298</v>
      </c>
      <c r="B154" t="s">
        <v>299</v>
      </c>
      <c r="C154">
        <v>0.51459999999999995</v>
      </c>
      <c r="D154">
        <v>0.21</v>
      </c>
      <c r="E154">
        <v>7380000</v>
      </c>
      <c r="F154">
        <v>1530000</v>
      </c>
      <c r="G154">
        <v>14340000</v>
      </c>
      <c r="H154">
        <f>Sheet1[[#This Row],[Volume (24h)]]/Sheet1[[#This Row],[Circulating Supply]]</f>
        <v>0.10669456066945607</v>
      </c>
      <c r="I154">
        <f>RANK(Sheet1[[#This Row],[Market Cap]],Sheet1[Market Cap],0)</f>
        <v>152</v>
      </c>
      <c r="J154" t="str">
        <f t="shared" si="2"/>
        <v>0-0.5</v>
      </c>
    </row>
    <row r="155" spans="1:10" x14ac:dyDescent="0.3">
      <c r="A155" t="s">
        <v>300</v>
      </c>
      <c r="B155" t="s">
        <v>301</v>
      </c>
      <c r="C155">
        <v>93.78</v>
      </c>
      <c r="D155">
        <v>1.01</v>
      </c>
      <c r="E155">
        <v>7370000</v>
      </c>
      <c r="F155">
        <v>1870000</v>
      </c>
      <c r="G155">
        <v>78610</v>
      </c>
      <c r="H155">
        <f>Sheet1[[#This Row],[Volume (24h)]]/Sheet1[[#This Row],[Circulating Supply]]</f>
        <v>23.788322096425389</v>
      </c>
      <c r="I155">
        <f>RANK(Sheet1[[#This Row],[Market Cap]],Sheet1[Market Cap],0)</f>
        <v>153</v>
      </c>
      <c r="J155" t="str">
        <f t="shared" si="2"/>
        <v>0-0.5</v>
      </c>
    </row>
    <row r="156" spans="1:10" x14ac:dyDescent="0.3">
      <c r="A156" t="s">
        <v>302</v>
      </c>
      <c r="B156" t="s">
        <v>303</v>
      </c>
      <c r="C156">
        <v>1.7999999999999999E-2</v>
      </c>
      <c r="D156">
        <v>0.03</v>
      </c>
      <c r="E156">
        <v>7370000</v>
      </c>
      <c r="F156">
        <v>3930000</v>
      </c>
      <c r="G156">
        <v>409110000</v>
      </c>
      <c r="H156">
        <f>Sheet1[[#This Row],[Volume (24h)]]/Sheet1[[#This Row],[Circulating Supply]]</f>
        <v>9.6062183764757652E-3</v>
      </c>
      <c r="I156">
        <f>RANK(Sheet1[[#This Row],[Market Cap]],Sheet1[Market Cap],0)</f>
        <v>153</v>
      </c>
      <c r="J156" t="str">
        <f t="shared" si="2"/>
        <v>0-0.5</v>
      </c>
    </row>
    <row r="157" spans="1:10" x14ac:dyDescent="0.3">
      <c r="A157" t="s">
        <v>304</v>
      </c>
      <c r="B157" t="s">
        <v>304</v>
      </c>
      <c r="C157">
        <v>7.4000000000000003E-3</v>
      </c>
      <c r="D157">
        <v>0.99</v>
      </c>
      <c r="E157">
        <v>7340000</v>
      </c>
      <c r="F157">
        <v>539290</v>
      </c>
      <c r="G157">
        <v>999190000</v>
      </c>
      <c r="H157">
        <f>Sheet1[[#This Row],[Volume (24h)]]/Sheet1[[#This Row],[Circulating Supply]]</f>
        <v>5.3972717901500219E-4</v>
      </c>
      <c r="I157">
        <f>RANK(Sheet1[[#This Row],[Market Cap]],Sheet1[Market Cap],0)</f>
        <v>155</v>
      </c>
      <c r="J157" t="str">
        <f t="shared" si="2"/>
        <v>0-0.5</v>
      </c>
    </row>
    <row r="158" spans="1:10" x14ac:dyDescent="0.3">
      <c r="A158" t="s">
        <v>305</v>
      </c>
      <c r="B158" t="s">
        <v>306</v>
      </c>
      <c r="C158">
        <v>108.07</v>
      </c>
      <c r="D158">
        <v>0.23</v>
      </c>
      <c r="E158">
        <v>7250000</v>
      </c>
      <c r="F158">
        <v>549860</v>
      </c>
      <c r="G158">
        <v>67120</v>
      </c>
      <c r="H158">
        <f>Sheet1[[#This Row],[Volume (24h)]]/Sheet1[[#This Row],[Circulating Supply]]</f>
        <v>8.1921930870083433</v>
      </c>
      <c r="I158">
        <f>RANK(Sheet1[[#This Row],[Market Cap]],Sheet1[Market Cap],0)</f>
        <v>156</v>
      </c>
      <c r="J158" t="str">
        <f t="shared" si="2"/>
        <v>0-0.5</v>
      </c>
    </row>
    <row r="159" spans="1:10" x14ac:dyDescent="0.3">
      <c r="A159" t="s">
        <v>307</v>
      </c>
      <c r="B159" t="s">
        <v>308</v>
      </c>
      <c r="C159">
        <v>64.97</v>
      </c>
      <c r="D159">
        <v>0.05</v>
      </c>
      <c r="E159">
        <v>7240000</v>
      </c>
      <c r="F159">
        <v>504730</v>
      </c>
      <c r="G159">
        <v>111490</v>
      </c>
      <c r="H159">
        <f>Sheet1[[#This Row],[Volume (24h)]]/Sheet1[[#This Row],[Circulating Supply]]</f>
        <v>4.52713247824917</v>
      </c>
      <c r="I159">
        <f>RANK(Sheet1[[#This Row],[Market Cap]],Sheet1[Market Cap],0)</f>
        <v>157</v>
      </c>
      <c r="J159" t="str">
        <f t="shared" si="2"/>
        <v>0-0.5</v>
      </c>
    </row>
    <row r="160" spans="1:10" x14ac:dyDescent="0.3">
      <c r="A160" t="s">
        <v>309</v>
      </c>
      <c r="B160" t="s">
        <v>310</v>
      </c>
      <c r="C160">
        <v>0.60899999999999999</v>
      </c>
      <c r="D160">
        <v>0.01</v>
      </c>
      <c r="E160">
        <v>7230000</v>
      </c>
      <c r="F160">
        <v>326.52999999999997</v>
      </c>
      <c r="G160">
        <v>11880000</v>
      </c>
      <c r="H160">
        <f>Sheet1[[#This Row],[Volume (24h)]]/Sheet1[[#This Row],[Circulating Supply]]</f>
        <v>2.7485690235690234E-5</v>
      </c>
      <c r="I160">
        <f>RANK(Sheet1[[#This Row],[Market Cap]],Sheet1[Market Cap],0)</f>
        <v>158</v>
      </c>
      <c r="J160" t="str">
        <f t="shared" si="2"/>
        <v>0-0.5</v>
      </c>
    </row>
    <row r="161" spans="1:10" x14ac:dyDescent="0.3">
      <c r="A161" t="s">
        <v>311</v>
      </c>
      <c r="B161" t="s">
        <v>312</v>
      </c>
      <c r="C161">
        <v>1.4999999999999999E-2</v>
      </c>
      <c r="D161">
        <v>0.24</v>
      </c>
      <c r="E161">
        <v>7230000</v>
      </c>
      <c r="F161">
        <v>1820000</v>
      </c>
      <c r="G161">
        <v>483330000</v>
      </c>
      <c r="H161">
        <f>Sheet1[[#This Row],[Volume (24h)]]/Sheet1[[#This Row],[Circulating Supply]]</f>
        <v>3.7655432106428318E-3</v>
      </c>
      <c r="I161">
        <f>RANK(Sheet1[[#This Row],[Market Cap]],Sheet1[Market Cap],0)</f>
        <v>158</v>
      </c>
      <c r="J161" t="str">
        <f t="shared" si="2"/>
        <v>0-0.5</v>
      </c>
    </row>
    <row r="162" spans="1:10" x14ac:dyDescent="0.3">
      <c r="A162" t="s">
        <v>313</v>
      </c>
      <c r="B162" t="s">
        <v>314</v>
      </c>
      <c r="C162">
        <v>2.6200000000000001E-2</v>
      </c>
      <c r="D162">
        <v>0</v>
      </c>
      <c r="E162">
        <v>7190000</v>
      </c>
      <c r="G162">
        <v>274530000</v>
      </c>
      <c r="H162">
        <f>Sheet1[[#This Row],[Volume (24h)]]/Sheet1[[#This Row],[Circulating Supply]]</f>
        <v>0</v>
      </c>
      <c r="I162">
        <f>RANK(Sheet1[[#This Row],[Market Cap]],Sheet1[Market Cap],0)</f>
        <v>160</v>
      </c>
      <c r="J162" t="str">
        <f t="shared" si="2"/>
        <v>0-0.5</v>
      </c>
    </row>
    <row r="163" spans="1:10" x14ac:dyDescent="0.3">
      <c r="A163" t="s">
        <v>315</v>
      </c>
      <c r="B163" t="s">
        <v>316</v>
      </c>
      <c r="C163">
        <v>8.0000000000000004E-4</v>
      </c>
      <c r="D163">
        <v>1.8</v>
      </c>
      <c r="E163">
        <v>7130000</v>
      </c>
      <c r="F163">
        <v>448520</v>
      </c>
      <c r="G163">
        <v>8390000000</v>
      </c>
      <c r="H163">
        <f>Sheet1[[#This Row],[Volume (24h)]]/Sheet1[[#This Row],[Circulating Supply]]</f>
        <v>5.3458879618593562E-5</v>
      </c>
      <c r="I163">
        <f>RANK(Sheet1[[#This Row],[Market Cap]],Sheet1[Market Cap],0)</f>
        <v>161</v>
      </c>
      <c r="J163" t="str">
        <f t="shared" si="2"/>
        <v>0-0.5</v>
      </c>
    </row>
    <row r="164" spans="1:10" x14ac:dyDescent="0.3">
      <c r="A164" t="s">
        <v>317</v>
      </c>
      <c r="B164" t="s">
        <v>318</v>
      </c>
      <c r="C164">
        <v>0.10150000000000001</v>
      </c>
      <c r="D164">
        <v>1.23</v>
      </c>
      <c r="E164">
        <v>7080000</v>
      </c>
      <c r="F164">
        <v>384890</v>
      </c>
      <c r="G164">
        <v>69780000</v>
      </c>
      <c r="H164">
        <f>Sheet1[[#This Row],[Volume (24h)]]/Sheet1[[#This Row],[Circulating Supply]]</f>
        <v>5.515763829177415E-3</v>
      </c>
      <c r="I164">
        <f>RANK(Sheet1[[#This Row],[Market Cap]],Sheet1[Market Cap],0)</f>
        <v>162</v>
      </c>
      <c r="J164" t="str">
        <f t="shared" si="2"/>
        <v>0-0.5</v>
      </c>
    </row>
    <row r="165" spans="1:10" x14ac:dyDescent="0.3">
      <c r="A165" t="s">
        <v>319</v>
      </c>
      <c r="B165" t="s">
        <v>320</v>
      </c>
      <c r="C165">
        <v>1E-4</v>
      </c>
      <c r="D165">
        <v>1.07</v>
      </c>
      <c r="E165">
        <v>7080000</v>
      </c>
      <c r="F165">
        <v>18490</v>
      </c>
      <c r="G165">
        <v>102920000000</v>
      </c>
      <c r="H165">
        <f>Sheet1[[#This Row],[Volume (24h)]]/Sheet1[[#This Row],[Circulating Supply]]</f>
        <v>1.7965410027205597E-7</v>
      </c>
      <c r="I165">
        <f>RANK(Sheet1[[#This Row],[Market Cap]],Sheet1[Market Cap],0)</f>
        <v>162</v>
      </c>
      <c r="J165" t="str">
        <f t="shared" si="2"/>
        <v>0-0.5</v>
      </c>
    </row>
    <row r="166" spans="1:10" x14ac:dyDescent="0.3">
      <c r="A166" t="s">
        <v>321</v>
      </c>
      <c r="B166" t="s">
        <v>322</v>
      </c>
      <c r="C166">
        <v>0.26919999999999999</v>
      </c>
      <c r="D166">
        <v>1.03</v>
      </c>
      <c r="E166">
        <v>7060000</v>
      </c>
      <c r="F166">
        <v>2390000</v>
      </c>
      <c r="G166">
        <v>26230000</v>
      </c>
      <c r="H166">
        <f>Sheet1[[#This Row],[Volume (24h)]]/Sheet1[[#This Row],[Circulating Supply]]</f>
        <v>9.1117041555470832E-2</v>
      </c>
      <c r="I166">
        <f>RANK(Sheet1[[#This Row],[Market Cap]],Sheet1[Market Cap],0)</f>
        <v>164</v>
      </c>
      <c r="J166" t="str">
        <f t="shared" si="2"/>
        <v>0-0.5</v>
      </c>
    </row>
    <row r="167" spans="1:10" x14ac:dyDescent="0.3">
      <c r="A167" t="s">
        <v>323</v>
      </c>
      <c r="B167" t="s">
        <v>324</v>
      </c>
      <c r="C167">
        <v>9.5999999999999992E-3</v>
      </c>
      <c r="D167">
        <v>0.13</v>
      </c>
      <c r="E167">
        <v>5710000</v>
      </c>
      <c r="F167">
        <v>671970</v>
      </c>
      <c r="G167">
        <v>593560000</v>
      </c>
      <c r="H167">
        <f>Sheet1[[#This Row],[Volume (24h)]]/Sheet1[[#This Row],[Circulating Supply]]</f>
        <v>1.1321012197587439E-3</v>
      </c>
      <c r="I167">
        <f>RANK(Sheet1[[#This Row],[Market Cap]],Sheet1[Market Cap],0)</f>
        <v>166</v>
      </c>
      <c r="J167" t="str">
        <f t="shared" si="2"/>
        <v>0-0.5</v>
      </c>
    </row>
    <row r="168" spans="1:10" x14ac:dyDescent="0.3">
      <c r="A168" t="s">
        <v>325</v>
      </c>
      <c r="B168" t="s">
        <v>326</v>
      </c>
      <c r="C168">
        <v>4.5999999999999999E-3</v>
      </c>
      <c r="D168">
        <v>0.78</v>
      </c>
      <c r="E168">
        <v>5710000</v>
      </c>
      <c r="F168">
        <v>1870000</v>
      </c>
      <c r="G168">
        <v>1240000000</v>
      </c>
      <c r="H168">
        <f>Sheet1[[#This Row],[Volume (24h)]]/Sheet1[[#This Row],[Circulating Supply]]</f>
        <v>1.5080645161290322E-3</v>
      </c>
      <c r="I168">
        <f>RANK(Sheet1[[#This Row],[Market Cap]],Sheet1[Market Cap],0)</f>
        <v>166</v>
      </c>
      <c r="J168" t="str">
        <f t="shared" si="2"/>
        <v>0-0.5</v>
      </c>
    </row>
    <row r="169" spans="1:10" x14ac:dyDescent="0.3">
      <c r="A169" t="s">
        <v>327</v>
      </c>
      <c r="B169" t="s">
        <v>328</v>
      </c>
      <c r="C169">
        <v>0.1628</v>
      </c>
      <c r="D169">
        <v>0.02</v>
      </c>
      <c r="E169">
        <v>5710000</v>
      </c>
      <c r="F169">
        <v>221390</v>
      </c>
      <c r="G169">
        <v>35080000</v>
      </c>
      <c r="H169">
        <f>Sheet1[[#This Row],[Volume (24h)]]/Sheet1[[#This Row],[Circulating Supply]]</f>
        <v>6.3110034207525655E-3</v>
      </c>
      <c r="I169">
        <f>RANK(Sheet1[[#This Row],[Market Cap]],Sheet1[Market Cap],0)</f>
        <v>166</v>
      </c>
      <c r="J169" t="str">
        <f t="shared" si="2"/>
        <v>0-0.5</v>
      </c>
    </row>
    <row r="170" spans="1:10" x14ac:dyDescent="0.3">
      <c r="A170" t="s">
        <v>329</v>
      </c>
      <c r="B170" t="s">
        <v>329</v>
      </c>
      <c r="C170">
        <v>0</v>
      </c>
      <c r="D170">
        <v>0.91</v>
      </c>
      <c r="E170">
        <v>5700000</v>
      </c>
      <c r="F170">
        <v>260720</v>
      </c>
      <c r="G170">
        <v>411670000000</v>
      </c>
      <c r="H170">
        <f>Sheet1[[#This Row],[Volume (24h)]]/Sheet1[[#This Row],[Circulating Supply]]</f>
        <v>6.3332280710277652E-7</v>
      </c>
      <c r="I170">
        <f>RANK(Sheet1[[#This Row],[Market Cap]],Sheet1[Market Cap],0)</f>
        <v>169</v>
      </c>
      <c r="J170" t="str">
        <f t="shared" si="2"/>
        <v>0-0.5</v>
      </c>
    </row>
    <row r="171" spans="1:10" x14ac:dyDescent="0.3">
      <c r="A171" t="s">
        <v>330</v>
      </c>
      <c r="B171" t="s">
        <v>331</v>
      </c>
      <c r="C171">
        <v>9.3000000000000007</v>
      </c>
      <c r="D171">
        <v>0.08</v>
      </c>
      <c r="E171">
        <v>5680000</v>
      </c>
      <c r="F171">
        <v>19250000</v>
      </c>
      <c r="G171">
        <v>610760</v>
      </c>
      <c r="H171">
        <f>Sheet1[[#This Row],[Volume (24h)]]/Sheet1[[#This Row],[Circulating Supply]]</f>
        <v>31.51810858602397</v>
      </c>
      <c r="I171">
        <f>RANK(Sheet1[[#This Row],[Market Cap]],Sheet1[Market Cap],0)</f>
        <v>170</v>
      </c>
      <c r="J171" t="str">
        <f t="shared" si="2"/>
        <v>0-0.5</v>
      </c>
    </row>
    <row r="172" spans="1:10" x14ac:dyDescent="0.3">
      <c r="A172" t="s">
        <v>332</v>
      </c>
      <c r="B172" t="s">
        <v>333</v>
      </c>
      <c r="C172">
        <v>8.9999999999999998E-4</v>
      </c>
      <c r="D172">
        <v>0.03</v>
      </c>
      <c r="E172">
        <v>5680000</v>
      </c>
      <c r="F172">
        <v>520190</v>
      </c>
      <c r="G172">
        <v>6230000000</v>
      </c>
      <c r="H172">
        <f>Sheet1[[#This Row],[Volume (24h)]]/Sheet1[[#This Row],[Circulating Supply]]</f>
        <v>8.3497592295345098E-5</v>
      </c>
      <c r="I172">
        <f>RANK(Sheet1[[#This Row],[Market Cap]],Sheet1[Market Cap],0)</f>
        <v>170</v>
      </c>
      <c r="J172" t="str">
        <f t="shared" si="2"/>
        <v>0-0.5</v>
      </c>
    </row>
    <row r="173" spans="1:10" x14ac:dyDescent="0.3">
      <c r="A173" t="s">
        <v>334</v>
      </c>
      <c r="B173" t="s">
        <v>335</v>
      </c>
      <c r="C173">
        <v>3.44E-2</v>
      </c>
      <c r="D173">
        <v>0.01</v>
      </c>
      <c r="E173">
        <v>5670000</v>
      </c>
      <c r="F173">
        <v>9890</v>
      </c>
      <c r="G173">
        <v>165170000</v>
      </c>
      <c r="H173">
        <f>Sheet1[[#This Row],[Volume (24h)]]/Sheet1[[#This Row],[Circulating Supply]]</f>
        <v>5.9877701761821155E-5</v>
      </c>
      <c r="I173">
        <f>RANK(Sheet1[[#This Row],[Market Cap]],Sheet1[Market Cap],0)</f>
        <v>172</v>
      </c>
      <c r="J173" t="str">
        <f t="shared" si="2"/>
        <v>0-0.5</v>
      </c>
    </row>
    <row r="174" spans="1:10" x14ac:dyDescent="0.3">
      <c r="A174" t="s">
        <v>336</v>
      </c>
      <c r="B174" t="s">
        <v>337</v>
      </c>
      <c r="C174">
        <v>0.24560000000000001</v>
      </c>
      <c r="D174">
        <v>0.01</v>
      </c>
      <c r="E174">
        <v>5670000</v>
      </c>
      <c r="F174">
        <v>243470</v>
      </c>
      <c r="G174">
        <v>23080000</v>
      </c>
      <c r="H174">
        <f>Sheet1[[#This Row],[Volume (24h)]]/Sheet1[[#This Row],[Circulating Supply]]</f>
        <v>1.0548960138648181E-2</v>
      </c>
      <c r="I174">
        <f>RANK(Sheet1[[#This Row],[Market Cap]],Sheet1[Market Cap],0)</f>
        <v>172</v>
      </c>
      <c r="J174" t="str">
        <f t="shared" si="2"/>
        <v>0-0.5</v>
      </c>
    </row>
    <row r="175" spans="1:10" x14ac:dyDescent="0.3">
      <c r="A175" t="s">
        <v>338</v>
      </c>
      <c r="B175" t="s">
        <v>339</v>
      </c>
      <c r="C175">
        <v>9.4000000000000004E-3</v>
      </c>
      <c r="D175">
        <v>0.21</v>
      </c>
      <c r="E175">
        <v>5660000</v>
      </c>
      <c r="F175">
        <v>762630</v>
      </c>
      <c r="G175">
        <v>599390000</v>
      </c>
      <c r="H175">
        <f>Sheet1[[#This Row],[Volume (24h)]]/Sheet1[[#This Row],[Circulating Supply]]</f>
        <v>1.2723435492750963E-3</v>
      </c>
      <c r="I175">
        <f>RANK(Sheet1[[#This Row],[Market Cap]],Sheet1[Market Cap],0)</f>
        <v>174</v>
      </c>
      <c r="J175" t="str">
        <f t="shared" si="2"/>
        <v>0-0.5</v>
      </c>
    </row>
    <row r="176" spans="1:10" x14ac:dyDescent="0.3">
      <c r="A176" t="s">
        <v>340</v>
      </c>
      <c r="B176" t="s">
        <v>341</v>
      </c>
      <c r="C176">
        <v>389.13</v>
      </c>
      <c r="D176">
        <v>0.47</v>
      </c>
      <c r="E176">
        <v>5660000</v>
      </c>
      <c r="F176">
        <v>3050000</v>
      </c>
      <c r="G176">
        <v>14550</v>
      </c>
      <c r="H176">
        <f>Sheet1[[#This Row],[Volume (24h)]]/Sheet1[[#This Row],[Circulating Supply]]</f>
        <v>209.62199312714776</v>
      </c>
      <c r="I176">
        <f>RANK(Sheet1[[#This Row],[Market Cap]],Sheet1[Market Cap],0)</f>
        <v>174</v>
      </c>
      <c r="J176" t="str">
        <f t="shared" si="2"/>
        <v>0-0.5</v>
      </c>
    </row>
    <row r="177" spans="1:10" x14ac:dyDescent="0.3">
      <c r="A177" t="s">
        <v>342</v>
      </c>
      <c r="B177" t="s">
        <v>343</v>
      </c>
      <c r="C177">
        <v>7.6399999999999996E-2</v>
      </c>
      <c r="D177">
        <v>0.19</v>
      </c>
      <c r="E177">
        <v>5630000</v>
      </c>
      <c r="F177">
        <v>806990</v>
      </c>
      <c r="G177">
        <v>73730000</v>
      </c>
      <c r="H177">
        <f>Sheet1[[#This Row],[Volume (24h)]]/Sheet1[[#This Row],[Circulating Supply]]</f>
        <v>1.0945205479452054E-2</v>
      </c>
      <c r="I177">
        <f>RANK(Sheet1[[#This Row],[Market Cap]],Sheet1[Market Cap],0)</f>
        <v>176</v>
      </c>
      <c r="J177" t="str">
        <f t="shared" si="2"/>
        <v>0-0.5</v>
      </c>
    </row>
    <row r="178" spans="1:10" x14ac:dyDescent="0.3">
      <c r="A178" t="s">
        <v>344</v>
      </c>
      <c r="B178" t="s">
        <v>345</v>
      </c>
      <c r="C178">
        <v>3.5999999999999997E-2</v>
      </c>
      <c r="D178">
        <v>0.56999999999999995</v>
      </c>
      <c r="E178">
        <v>5610000</v>
      </c>
      <c r="F178">
        <v>3830000</v>
      </c>
      <c r="G178">
        <v>156120000</v>
      </c>
      <c r="H178">
        <f>Sheet1[[#This Row],[Volume (24h)]]/Sheet1[[#This Row],[Circulating Supply]]</f>
        <v>2.4532410965923648E-2</v>
      </c>
      <c r="I178">
        <f>RANK(Sheet1[[#This Row],[Market Cap]],Sheet1[Market Cap],0)</f>
        <v>177</v>
      </c>
      <c r="J178" t="str">
        <f t="shared" si="2"/>
        <v>0-0.5</v>
      </c>
    </row>
    <row r="179" spans="1:10" x14ac:dyDescent="0.3">
      <c r="A179" t="s">
        <v>346</v>
      </c>
      <c r="B179" t="s">
        <v>347</v>
      </c>
      <c r="C179">
        <v>0.13020000000000001</v>
      </c>
      <c r="D179">
        <v>0.31</v>
      </c>
      <c r="E179">
        <v>5600000</v>
      </c>
      <c r="F179">
        <v>3260000</v>
      </c>
      <c r="G179">
        <v>43050000</v>
      </c>
      <c r="H179">
        <f>Sheet1[[#This Row],[Volume (24h)]]/Sheet1[[#This Row],[Circulating Supply]]</f>
        <v>7.5725900116144024E-2</v>
      </c>
      <c r="I179">
        <f>RANK(Sheet1[[#This Row],[Market Cap]],Sheet1[Market Cap],0)</f>
        <v>178</v>
      </c>
      <c r="J179" t="str">
        <f t="shared" si="2"/>
        <v>0-0.5</v>
      </c>
    </row>
    <row r="180" spans="1:10" x14ac:dyDescent="0.3">
      <c r="A180" t="s">
        <v>348</v>
      </c>
      <c r="B180" t="s">
        <v>349</v>
      </c>
      <c r="C180">
        <v>7.9000000000000008E-3</v>
      </c>
      <c r="D180">
        <v>0.01</v>
      </c>
      <c r="E180">
        <v>5590000</v>
      </c>
      <c r="F180">
        <v>5090000</v>
      </c>
      <c r="G180">
        <v>704060000</v>
      </c>
      <c r="H180">
        <f>Sheet1[[#This Row],[Volume (24h)]]/Sheet1[[#This Row],[Circulating Supply]]</f>
        <v>7.2294974860097148E-3</v>
      </c>
      <c r="I180">
        <f>RANK(Sheet1[[#This Row],[Market Cap]],Sheet1[Market Cap],0)</f>
        <v>179</v>
      </c>
      <c r="J180" t="str">
        <f t="shared" si="2"/>
        <v>0-0.5</v>
      </c>
    </row>
    <row r="181" spans="1:10" x14ac:dyDescent="0.3">
      <c r="A181" t="s">
        <v>350</v>
      </c>
      <c r="B181" t="s">
        <v>351</v>
      </c>
      <c r="C181">
        <v>0.1221</v>
      </c>
      <c r="D181">
        <v>0</v>
      </c>
      <c r="E181">
        <v>5570000</v>
      </c>
      <c r="G181">
        <v>45660000</v>
      </c>
      <c r="H181">
        <f>Sheet1[[#This Row],[Volume (24h)]]/Sheet1[[#This Row],[Circulating Supply]]</f>
        <v>0</v>
      </c>
      <c r="I181">
        <f>RANK(Sheet1[[#This Row],[Market Cap]],Sheet1[Market Cap],0)</f>
        <v>180</v>
      </c>
      <c r="J181" t="str">
        <f t="shared" si="2"/>
        <v>0-0.5</v>
      </c>
    </row>
    <row r="182" spans="1:10" x14ac:dyDescent="0.3">
      <c r="A182" t="s">
        <v>352</v>
      </c>
      <c r="B182" t="s">
        <v>353</v>
      </c>
      <c r="C182">
        <v>7.1000000000000004E-3</v>
      </c>
      <c r="D182">
        <v>0.54</v>
      </c>
      <c r="E182">
        <v>4380000</v>
      </c>
      <c r="F182">
        <v>698800</v>
      </c>
      <c r="G182">
        <v>616750000</v>
      </c>
      <c r="H182">
        <f>Sheet1[[#This Row],[Volume (24h)]]/Sheet1[[#This Row],[Circulating Supply]]</f>
        <v>1.1330360762059181E-3</v>
      </c>
      <c r="I182">
        <f>RANK(Sheet1[[#This Row],[Market Cap]],Sheet1[Market Cap],0)</f>
        <v>181</v>
      </c>
      <c r="J182" t="str">
        <f t="shared" si="2"/>
        <v>0-0.5</v>
      </c>
    </row>
    <row r="183" spans="1:10" x14ac:dyDescent="0.3">
      <c r="A183" t="s">
        <v>354</v>
      </c>
      <c r="B183" t="s">
        <v>355</v>
      </c>
      <c r="C183">
        <v>3.4200000000000001E-2</v>
      </c>
      <c r="D183">
        <v>0.32</v>
      </c>
      <c r="E183">
        <v>4350000</v>
      </c>
      <c r="F183">
        <v>1850000</v>
      </c>
      <c r="G183">
        <v>127500000</v>
      </c>
      <c r="H183">
        <f>Sheet1[[#This Row],[Volume (24h)]]/Sheet1[[#This Row],[Circulating Supply]]</f>
        <v>1.4509803921568627E-2</v>
      </c>
      <c r="I183">
        <f>RANK(Sheet1[[#This Row],[Market Cap]],Sheet1[Market Cap],0)</f>
        <v>182</v>
      </c>
      <c r="J183" t="str">
        <f t="shared" si="2"/>
        <v>0-0.5</v>
      </c>
    </row>
    <row r="184" spans="1:10" x14ac:dyDescent="0.3">
      <c r="A184" t="s">
        <v>356</v>
      </c>
      <c r="B184" t="s">
        <v>357</v>
      </c>
      <c r="C184">
        <v>2.0000000000000001E-4</v>
      </c>
      <c r="D184">
        <v>1.53</v>
      </c>
      <c r="E184">
        <v>4350000</v>
      </c>
      <c r="F184">
        <v>4450</v>
      </c>
      <c r="G184">
        <v>21000000000</v>
      </c>
      <c r="H184">
        <f>Sheet1[[#This Row],[Volume (24h)]]/Sheet1[[#This Row],[Circulating Supply]]</f>
        <v>2.1190476190476189E-7</v>
      </c>
      <c r="I184">
        <f>RANK(Sheet1[[#This Row],[Market Cap]],Sheet1[Market Cap],0)</f>
        <v>182</v>
      </c>
      <c r="J184" t="str">
        <f t="shared" si="2"/>
        <v>0-0.5</v>
      </c>
    </row>
    <row r="185" spans="1:10" x14ac:dyDescent="0.3">
      <c r="A185" t="s">
        <v>358</v>
      </c>
      <c r="B185" t="s">
        <v>359</v>
      </c>
      <c r="C185">
        <v>592.08000000000004</v>
      </c>
      <c r="D185">
        <v>0.36</v>
      </c>
      <c r="E185">
        <v>4350000</v>
      </c>
      <c r="F185">
        <v>1320000</v>
      </c>
      <c r="G185">
        <v>7350</v>
      </c>
      <c r="H185">
        <f>Sheet1[[#This Row],[Volume (24h)]]/Sheet1[[#This Row],[Circulating Supply]]</f>
        <v>179.59183673469389</v>
      </c>
      <c r="I185">
        <f>RANK(Sheet1[[#This Row],[Market Cap]],Sheet1[Market Cap],0)</f>
        <v>182</v>
      </c>
      <c r="J185" t="str">
        <f t="shared" si="2"/>
        <v>0-0.5</v>
      </c>
    </row>
    <row r="186" spans="1:10" x14ac:dyDescent="0.3">
      <c r="A186" t="s">
        <v>360</v>
      </c>
      <c r="B186" t="s">
        <v>361</v>
      </c>
      <c r="C186">
        <v>8.8999999999999999E-3</v>
      </c>
      <c r="D186">
        <v>0.02</v>
      </c>
      <c r="E186">
        <v>4320000</v>
      </c>
      <c r="F186">
        <v>162880</v>
      </c>
      <c r="G186">
        <v>486200000</v>
      </c>
      <c r="H186">
        <f>Sheet1[[#This Row],[Volume (24h)]]/Sheet1[[#This Row],[Circulating Supply]]</f>
        <v>3.3500617030028792E-4</v>
      </c>
      <c r="I186">
        <f>RANK(Sheet1[[#This Row],[Market Cap]],Sheet1[Market Cap],0)</f>
        <v>185</v>
      </c>
      <c r="J186" t="str">
        <f t="shared" si="2"/>
        <v>0-0.5</v>
      </c>
    </row>
    <row r="187" spans="1:10" x14ac:dyDescent="0.3">
      <c r="A187" t="s">
        <v>362</v>
      </c>
      <c r="B187" t="s">
        <v>363</v>
      </c>
      <c r="C187">
        <v>5.0000000000000001E-4</v>
      </c>
      <c r="D187">
        <v>0.37</v>
      </c>
      <c r="E187">
        <v>4310000</v>
      </c>
      <c r="F187">
        <v>239490</v>
      </c>
      <c r="G187">
        <v>8990000000</v>
      </c>
      <c r="H187">
        <f>Sheet1[[#This Row],[Volume (24h)]]/Sheet1[[#This Row],[Circulating Supply]]</f>
        <v>2.663959955506118E-5</v>
      </c>
      <c r="I187">
        <f>RANK(Sheet1[[#This Row],[Market Cap]],Sheet1[Market Cap],0)</f>
        <v>186</v>
      </c>
      <c r="J187" t="str">
        <f t="shared" si="2"/>
        <v>0-0.5</v>
      </c>
    </row>
    <row r="188" spans="1:10" x14ac:dyDescent="0.3">
      <c r="A188" t="s">
        <v>364</v>
      </c>
      <c r="B188" t="s">
        <v>365</v>
      </c>
      <c r="C188">
        <v>6.54E-2</v>
      </c>
      <c r="D188">
        <v>1</v>
      </c>
      <c r="E188">
        <v>4290000</v>
      </c>
      <c r="F188">
        <v>5290</v>
      </c>
      <c r="G188">
        <v>65720000</v>
      </c>
      <c r="H188">
        <f>Sheet1[[#This Row],[Volume (24h)]]/Sheet1[[#This Row],[Circulating Supply]]</f>
        <v>8.0493000608642724E-5</v>
      </c>
      <c r="I188">
        <f>RANK(Sheet1[[#This Row],[Market Cap]],Sheet1[Market Cap],0)</f>
        <v>187</v>
      </c>
      <c r="J188" t="str">
        <f t="shared" si="2"/>
        <v>0-0.5</v>
      </c>
    </row>
    <row r="189" spans="1:10" x14ac:dyDescent="0.3">
      <c r="A189" t="s">
        <v>366</v>
      </c>
      <c r="B189" t="s">
        <v>367</v>
      </c>
      <c r="C189">
        <v>0</v>
      </c>
      <c r="D189">
        <v>0</v>
      </c>
      <c r="E189">
        <v>4280000</v>
      </c>
      <c r="G189">
        <v>184060000000</v>
      </c>
      <c r="H189">
        <f>Sheet1[[#This Row],[Volume (24h)]]/Sheet1[[#This Row],[Circulating Supply]]</f>
        <v>0</v>
      </c>
      <c r="I189">
        <f>RANK(Sheet1[[#This Row],[Market Cap]],Sheet1[Market Cap],0)</f>
        <v>188</v>
      </c>
      <c r="J189" t="str">
        <f t="shared" si="2"/>
        <v>0-0.5</v>
      </c>
    </row>
    <row r="190" spans="1:10" x14ac:dyDescent="0.3">
      <c r="A190" t="s">
        <v>368</v>
      </c>
      <c r="B190" t="s">
        <v>369</v>
      </c>
      <c r="C190">
        <v>1.5E-3</v>
      </c>
      <c r="D190">
        <v>0.01</v>
      </c>
      <c r="E190">
        <v>4270000</v>
      </c>
      <c r="F190">
        <v>44.18</v>
      </c>
      <c r="G190">
        <v>2770000000</v>
      </c>
      <c r="H190">
        <f>Sheet1[[#This Row],[Volume (24h)]]/Sheet1[[#This Row],[Circulating Supply]]</f>
        <v>1.5949458483754512E-8</v>
      </c>
      <c r="I190">
        <f>RANK(Sheet1[[#This Row],[Market Cap]],Sheet1[Market Cap],0)</f>
        <v>189</v>
      </c>
      <c r="J190" t="str">
        <f t="shared" si="2"/>
        <v>0-0.5</v>
      </c>
    </row>
    <row r="191" spans="1:10" x14ac:dyDescent="0.3">
      <c r="A191" t="s">
        <v>370</v>
      </c>
      <c r="B191" t="s">
        <v>370</v>
      </c>
      <c r="C191">
        <v>4.5999999999999999E-3</v>
      </c>
      <c r="D191">
        <v>0.08</v>
      </c>
      <c r="E191">
        <v>4260000</v>
      </c>
      <c r="F191">
        <v>1410000</v>
      </c>
      <c r="G191">
        <v>929610000</v>
      </c>
      <c r="H191">
        <f>Sheet1[[#This Row],[Volume (24h)]]/Sheet1[[#This Row],[Circulating Supply]]</f>
        <v>1.5167650950398553E-3</v>
      </c>
      <c r="I191">
        <f>RANK(Sheet1[[#This Row],[Market Cap]],Sheet1[Market Cap],0)</f>
        <v>190</v>
      </c>
      <c r="J191" t="str">
        <f t="shared" si="2"/>
        <v>0-0.5</v>
      </c>
    </row>
    <row r="192" spans="1:10" x14ac:dyDescent="0.3">
      <c r="A192" t="s">
        <v>371</v>
      </c>
      <c r="B192" t="s">
        <v>371</v>
      </c>
      <c r="C192">
        <v>1.24E-2</v>
      </c>
      <c r="D192">
        <v>0.16</v>
      </c>
      <c r="E192">
        <v>4230000</v>
      </c>
      <c r="F192">
        <v>78790</v>
      </c>
      <c r="G192">
        <v>341170000</v>
      </c>
      <c r="H192">
        <f>Sheet1[[#This Row],[Volume (24h)]]/Sheet1[[#This Row],[Circulating Supply]]</f>
        <v>2.3094058680423249E-4</v>
      </c>
      <c r="I192">
        <f>RANK(Sheet1[[#This Row],[Market Cap]],Sheet1[Market Cap],0)</f>
        <v>191</v>
      </c>
      <c r="J192" t="str">
        <f t="shared" si="2"/>
        <v>0-0.5</v>
      </c>
    </row>
    <row r="193" spans="1:10" x14ac:dyDescent="0.3">
      <c r="A193" t="s">
        <v>372</v>
      </c>
      <c r="B193" t="s">
        <v>373</v>
      </c>
      <c r="C193">
        <v>5.1000000000000004E-3</v>
      </c>
      <c r="D193">
        <v>0</v>
      </c>
      <c r="E193">
        <v>4220000</v>
      </c>
      <c r="G193">
        <v>824770000</v>
      </c>
      <c r="H193">
        <f>Sheet1[[#This Row],[Volume (24h)]]/Sheet1[[#This Row],[Circulating Supply]]</f>
        <v>0</v>
      </c>
      <c r="I193">
        <f>RANK(Sheet1[[#This Row],[Market Cap]],Sheet1[Market Cap],0)</f>
        <v>192</v>
      </c>
      <c r="J193" t="str">
        <f t="shared" si="2"/>
        <v>0-0.5</v>
      </c>
    </row>
    <row r="194" spans="1:10" x14ac:dyDescent="0.3">
      <c r="A194" t="s">
        <v>374</v>
      </c>
      <c r="B194" t="s">
        <v>375</v>
      </c>
      <c r="C194">
        <v>2.86E-2</v>
      </c>
      <c r="D194">
        <v>0.2</v>
      </c>
      <c r="E194">
        <v>4210000</v>
      </c>
      <c r="F194">
        <v>1130000</v>
      </c>
      <c r="G194">
        <v>147340000</v>
      </c>
      <c r="H194">
        <f>Sheet1[[#This Row],[Volume (24h)]]/Sheet1[[#This Row],[Circulating Supply]]</f>
        <v>7.669336229129904E-3</v>
      </c>
      <c r="I194">
        <f>RANK(Sheet1[[#This Row],[Market Cap]],Sheet1[Market Cap],0)</f>
        <v>193</v>
      </c>
      <c r="J194" t="str">
        <f t="shared" ref="J194:J257" si="3">IF(C404&lt;=0.5,"0-0.5",
IF(C404&lt;=1,"0.5-1",
IF(C404&lt;=2,"1-2",
IF(C404&lt;=10,"2-10",
IF(C404&lt;=100,"10-100",
IF(C404&lt;=10000,"100-10000",
"10000+"))))))</f>
        <v>0-0.5</v>
      </c>
    </row>
    <row r="195" spans="1:10" x14ac:dyDescent="0.3">
      <c r="A195" t="s">
        <v>376</v>
      </c>
      <c r="B195" t="s">
        <v>377</v>
      </c>
      <c r="C195">
        <v>7.7299999999999994E-2</v>
      </c>
      <c r="D195">
        <v>0.13</v>
      </c>
      <c r="E195">
        <v>4200000</v>
      </c>
      <c r="F195">
        <v>838.91</v>
      </c>
      <c r="G195">
        <v>57270000000000</v>
      </c>
      <c r="H195">
        <f>Sheet1[[#This Row],[Volume (24h)]]/Sheet1[[#This Row],[Circulating Supply]]</f>
        <v>1.4648332460275885E-11</v>
      </c>
      <c r="I195">
        <f>RANK(Sheet1[[#This Row],[Market Cap]],Sheet1[Market Cap],0)</f>
        <v>194</v>
      </c>
      <c r="J195" t="str">
        <f t="shared" si="3"/>
        <v>0-0.5</v>
      </c>
    </row>
    <row r="196" spans="1:10" x14ac:dyDescent="0.3">
      <c r="A196" t="s">
        <v>378</v>
      </c>
      <c r="B196" t="s">
        <v>379</v>
      </c>
      <c r="C196">
        <v>5.9999999999999995E-4</v>
      </c>
      <c r="D196">
        <v>0.4</v>
      </c>
      <c r="E196">
        <v>4200000</v>
      </c>
      <c r="F196">
        <v>1600000</v>
      </c>
      <c r="G196">
        <v>6950000000</v>
      </c>
      <c r="H196">
        <f>Sheet1[[#This Row],[Volume (24h)]]/Sheet1[[#This Row],[Circulating Supply]]</f>
        <v>2.3021582733812949E-4</v>
      </c>
      <c r="I196">
        <f>RANK(Sheet1[[#This Row],[Market Cap]],Sheet1[Market Cap],0)</f>
        <v>194</v>
      </c>
      <c r="J196" t="str">
        <f t="shared" si="3"/>
        <v>0-0.5</v>
      </c>
    </row>
    <row r="197" spans="1:10" x14ac:dyDescent="0.3">
      <c r="A197" t="s">
        <v>380</v>
      </c>
      <c r="B197" t="s">
        <v>381</v>
      </c>
      <c r="C197">
        <v>0.22889999999999999</v>
      </c>
      <c r="D197">
        <v>5.57</v>
      </c>
      <c r="E197">
        <v>3280000</v>
      </c>
      <c r="F197">
        <v>3170000</v>
      </c>
      <c r="G197">
        <v>14340000</v>
      </c>
      <c r="H197">
        <f>Sheet1[[#This Row],[Volume (24h)]]/Sheet1[[#This Row],[Circulating Supply]]</f>
        <v>0.2210599721059972</v>
      </c>
      <c r="I197">
        <f>RANK(Sheet1[[#This Row],[Market Cap]],Sheet1[Market Cap],0)</f>
        <v>204</v>
      </c>
      <c r="J197" t="str">
        <f t="shared" si="3"/>
        <v>0-0.5</v>
      </c>
    </row>
    <row r="198" spans="1:10" x14ac:dyDescent="0.3">
      <c r="A198" t="s">
        <v>382</v>
      </c>
      <c r="B198" t="s">
        <v>383</v>
      </c>
      <c r="C198">
        <v>0.22939999999999999</v>
      </c>
      <c r="D198">
        <v>0.11</v>
      </c>
      <c r="E198">
        <v>3310000</v>
      </c>
      <c r="F198">
        <v>3810</v>
      </c>
      <c r="G198">
        <v>14440000</v>
      </c>
      <c r="H198">
        <f>Sheet1[[#This Row],[Volume (24h)]]/Sheet1[[#This Row],[Circulating Supply]]</f>
        <v>2.6385041551246535E-4</v>
      </c>
      <c r="I198">
        <f>RANK(Sheet1[[#This Row],[Market Cap]],Sheet1[Market Cap],0)</f>
        <v>197</v>
      </c>
      <c r="J198" t="str">
        <f t="shared" si="3"/>
        <v>0-0.5</v>
      </c>
    </row>
    <row r="199" spans="1:10" x14ac:dyDescent="0.3">
      <c r="A199" t="s">
        <v>384</v>
      </c>
      <c r="B199" t="s">
        <v>385</v>
      </c>
      <c r="C199">
        <v>50.02</v>
      </c>
      <c r="D199">
        <v>1.17</v>
      </c>
      <c r="E199">
        <v>3300000</v>
      </c>
      <c r="F199">
        <v>1400000</v>
      </c>
      <c r="G199">
        <v>66140</v>
      </c>
      <c r="H199">
        <f>Sheet1[[#This Row],[Volume (24h)]]/Sheet1[[#This Row],[Circulating Supply]]</f>
        <v>21.167221046265496</v>
      </c>
      <c r="I199">
        <f>RANK(Sheet1[[#This Row],[Market Cap]],Sheet1[Market Cap],0)</f>
        <v>198</v>
      </c>
      <c r="J199" t="str">
        <f t="shared" si="3"/>
        <v>0-0.5</v>
      </c>
    </row>
    <row r="200" spans="1:10" x14ac:dyDescent="0.3">
      <c r="A200" t="s">
        <v>386</v>
      </c>
      <c r="B200" t="s">
        <v>387</v>
      </c>
      <c r="C200">
        <v>58.92</v>
      </c>
      <c r="D200">
        <v>0.05</v>
      </c>
      <c r="E200">
        <v>3300000</v>
      </c>
      <c r="F200">
        <v>202940</v>
      </c>
      <c r="G200">
        <v>56090</v>
      </c>
      <c r="H200">
        <f>Sheet1[[#This Row],[Volume (24h)]]/Sheet1[[#This Row],[Circulating Supply]]</f>
        <v>3.6181137457657337</v>
      </c>
      <c r="I200">
        <f>RANK(Sheet1[[#This Row],[Market Cap]],Sheet1[Market Cap],0)</f>
        <v>198</v>
      </c>
      <c r="J200" t="str">
        <f t="shared" si="3"/>
        <v>0-0.5</v>
      </c>
    </row>
    <row r="201" spans="1:10" x14ac:dyDescent="0.3">
      <c r="A201" t="s">
        <v>388</v>
      </c>
      <c r="B201" t="s">
        <v>389</v>
      </c>
      <c r="C201">
        <v>3.3E-3</v>
      </c>
      <c r="D201">
        <v>0.11</v>
      </c>
      <c r="E201">
        <v>3290000</v>
      </c>
      <c r="F201">
        <v>8210</v>
      </c>
      <c r="G201">
        <v>992870000</v>
      </c>
      <c r="H201">
        <f>Sheet1[[#This Row],[Volume (24h)]]/Sheet1[[#This Row],[Circulating Supply]]</f>
        <v>8.2689576681740806E-6</v>
      </c>
      <c r="I201">
        <f>RANK(Sheet1[[#This Row],[Market Cap]],Sheet1[Market Cap],0)</f>
        <v>200</v>
      </c>
      <c r="J201" t="str">
        <f t="shared" si="3"/>
        <v>0-0.5</v>
      </c>
    </row>
    <row r="202" spans="1:10" x14ac:dyDescent="0.3">
      <c r="A202" t="s">
        <v>390</v>
      </c>
      <c r="B202" t="s">
        <v>391</v>
      </c>
      <c r="C202">
        <v>9.7000000000000003E-3</v>
      </c>
      <c r="D202">
        <v>0.12</v>
      </c>
      <c r="E202">
        <v>3290000</v>
      </c>
      <c r="F202">
        <v>92400</v>
      </c>
      <c r="G202">
        <v>339060000</v>
      </c>
      <c r="H202">
        <f>Sheet1[[#This Row],[Volume (24h)]]/Sheet1[[#This Row],[Circulating Supply]]</f>
        <v>2.7251813838258715E-4</v>
      </c>
      <c r="I202">
        <f>RANK(Sheet1[[#This Row],[Market Cap]],Sheet1[Market Cap],0)</f>
        <v>200</v>
      </c>
      <c r="J202" t="str">
        <f t="shared" si="3"/>
        <v>0-0.5</v>
      </c>
    </row>
    <row r="203" spans="1:10" x14ac:dyDescent="0.3">
      <c r="A203" t="s">
        <v>392</v>
      </c>
      <c r="B203" t="s">
        <v>393</v>
      </c>
      <c r="C203">
        <v>1.6500000000000001E-2</v>
      </c>
      <c r="D203">
        <v>0.87</v>
      </c>
      <c r="E203">
        <v>3290000</v>
      </c>
      <c r="F203">
        <v>515040</v>
      </c>
      <c r="G203">
        <v>200000000</v>
      </c>
      <c r="H203">
        <f>Sheet1[[#This Row],[Volume (24h)]]/Sheet1[[#This Row],[Circulating Supply]]</f>
        <v>2.5752000000000001E-3</v>
      </c>
      <c r="I203">
        <f>RANK(Sheet1[[#This Row],[Market Cap]],Sheet1[Market Cap],0)</f>
        <v>200</v>
      </c>
      <c r="J203" t="str">
        <f t="shared" si="3"/>
        <v>0-0.5</v>
      </c>
    </row>
    <row r="204" spans="1:10" x14ac:dyDescent="0.3">
      <c r="A204" t="s">
        <v>394</v>
      </c>
      <c r="B204" t="s">
        <v>395</v>
      </c>
      <c r="C204">
        <v>0.99980000000000002</v>
      </c>
      <c r="D204">
        <v>0</v>
      </c>
      <c r="E204">
        <v>3290000</v>
      </c>
      <c r="G204">
        <v>3290000</v>
      </c>
      <c r="H204">
        <f>Sheet1[[#This Row],[Volume (24h)]]/Sheet1[[#This Row],[Circulating Supply]]</f>
        <v>0</v>
      </c>
      <c r="I204">
        <f>RANK(Sheet1[[#This Row],[Market Cap]],Sheet1[Market Cap],0)</f>
        <v>200</v>
      </c>
      <c r="J204" t="str">
        <f t="shared" si="3"/>
        <v>0-0.5</v>
      </c>
    </row>
    <row r="205" spans="1:10" x14ac:dyDescent="0.3">
      <c r="A205" t="s">
        <v>396</v>
      </c>
      <c r="B205" t="s">
        <v>397</v>
      </c>
      <c r="C205">
        <v>123.11</v>
      </c>
      <c r="D205">
        <v>0.16</v>
      </c>
      <c r="E205">
        <v>3280000</v>
      </c>
      <c r="F205">
        <v>1810000</v>
      </c>
      <c r="G205">
        <v>26710</v>
      </c>
      <c r="H205">
        <f>Sheet1[[#This Row],[Volume (24h)]]/Sheet1[[#This Row],[Circulating Supply]]</f>
        <v>67.764882066641704</v>
      </c>
      <c r="I205">
        <f>RANK(Sheet1[[#This Row],[Market Cap]],Sheet1[Market Cap],0)</f>
        <v>204</v>
      </c>
      <c r="J205" t="str">
        <f t="shared" si="3"/>
        <v>0-0.5</v>
      </c>
    </row>
    <row r="206" spans="1:10" x14ac:dyDescent="0.3">
      <c r="A206" t="s">
        <v>398</v>
      </c>
      <c r="B206" t="s">
        <v>399</v>
      </c>
      <c r="C206">
        <v>1.1999999999999999E-3</v>
      </c>
      <c r="D206">
        <v>0.23</v>
      </c>
      <c r="E206">
        <v>3280000</v>
      </c>
      <c r="F206">
        <v>169600</v>
      </c>
      <c r="G206">
        <v>2650000000</v>
      </c>
      <c r="H206">
        <f>Sheet1[[#This Row],[Volume (24h)]]/Sheet1[[#This Row],[Circulating Supply]]</f>
        <v>6.3999999999999997E-5</v>
      </c>
      <c r="I206">
        <f>RANK(Sheet1[[#This Row],[Market Cap]],Sheet1[Market Cap],0)</f>
        <v>204</v>
      </c>
      <c r="J206" t="str">
        <f t="shared" si="3"/>
        <v>0-0.5</v>
      </c>
    </row>
    <row r="207" spans="1:10" x14ac:dyDescent="0.3">
      <c r="A207" t="s">
        <v>400</v>
      </c>
      <c r="B207" t="s">
        <v>400</v>
      </c>
      <c r="C207">
        <v>1.6E-2</v>
      </c>
      <c r="D207">
        <v>0.09</v>
      </c>
      <c r="E207">
        <v>3280000</v>
      </c>
      <c r="F207">
        <v>455660</v>
      </c>
      <c r="G207">
        <v>204830000</v>
      </c>
      <c r="H207">
        <f>Sheet1[[#This Row],[Volume (24h)]]/Sheet1[[#This Row],[Circulating Supply]]</f>
        <v>2.2245764780549726E-3</v>
      </c>
      <c r="I207">
        <f>RANK(Sheet1[[#This Row],[Market Cap]],Sheet1[Market Cap],0)</f>
        <v>204</v>
      </c>
      <c r="J207" t="str">
        <f t="shared" si="3"/>
        <v>0-0.5</v>
      </c>
    </row>
    <row r="208" spans="1:10" x14ac:dyDescent="0.3">
      <c r="A208" t="s">
        <v>401</v>
      </c>
      <c r="B208" t="s">
        <v>402</v>
      </c>
      <c r="C208">
        <v>5.4999999999999997E-3</v>
      </c>
      <c r="D208">
        <v>0.34</v>
      </c>
      <c r="E208">
        <v>3280000</v>
      </c>
      <c r="F208">
        <v>148500</v>
      </c>
      <c r="G208">
        <v>598860000</v>
      </c>
      <c r="H208">
        <f>Sheet1[[#This Row],[Volume (24h)]]/Sheet1[[#This Row],[Circulating Supply]]</f>
        <v>2.4797114517583407E-4</v>
      </c>
      <c r="I208">
        <f>RANK(Sheet1[[#This Row],[Market Cap]],Sheet1[Market Cap],0)</f>
        <v>204</v>
      </c>
      <c r="J208" t="str">
        <f t="shared" si="3"/>
        <v>0-0.5</v>
      </c>
    </row>
    <row r="209" spans="1:10" x14ac:dyDescent="0.3">
      <c r="A209" t="s">
        <v>403</v>
      </c>
      <c r="B209" t="s">
        <v>404</v>
      </c>
      <c r="C209">
        <v>479.08</v>
      </c>
      <c r="D209">
        <v>0.3</v>
      </c>
      <c r="E209">
        <v>3280000</v>
      </c>
      <c r="F209">
        <v>4740000</v>
      </c>
      <c r="G209">
        <v>6840</v>
      </c>
      <c r="H209">
        <f>Sheet1[[#This Row],[Volume (24h)]]/Sheet1[[#This Row],[Circulating Supply]]</f>
        <v>692.98245614035091</v>
      </c>
      <c r="I209">
        <f>RANK(Sheet1[[#This Row],[Market Cap]],Sheet1[Market Cap],0)</f>
        <v>204</v>
      </c>
      <c r="J209" t="str">
        <f t="shared" si="3"/>
        <v>0-0.5</v>
      </c>
    </row>
    <row r="210" spans="1:10" x14ac:dyDescent="0.3">
      <c r="A210" t="s">
        <v>405</v>
      </c>
      <c r="B210" t="s">
        <v>406</v>
      </c>
      <c r="C210">
        <v>8.9999999999999998E-4</v>
      </c>
      <c r="D210">
        <v>3.85</v>
      </c>
      <c r="E210">
        <v>3360000</v>
      </c>
      <c r="F210">
        <v>441790</v>
      </c>
      <c r="G210">
        <v>3740000000</v>
      </c>
      <c r="H210">
        <f>Sheet1[[#This Row],[Volume (24h)]]/Sheet1[[#This Row],[Circulating Supply]]</f>
        <v>1.1812566844919786E-4</v>
      </c>
      <c r="I210">
        <f>RANK(Sheet1[[#This Row],[Market Cap]],Sheet1[Market Cap],0)</f>
        <v>196</v>
      </c>
      <c r="J210" t="str">
        <f t="shared" si="3"/>
        <v>0-0.5</v>
      </c>
    </row>
    <row r="211" spans="1:10" x14ac:dyDescent="0.3">
      <c r="A211" t="s">
        <v>407</v>
      </c>
      <c r="B211" t="s">
        <v>408</v>
      </c>
      <c r="C211">
        <v>5.7799999999999997E-2</v>
      </c>
      <c r="D211">
        <v>0.21</v>
      </c>
      <c r="E211">
        <v>3270000</v>
      </c>
      <c r="F211">
        <v>218630</v>
      </c>
      <c r="G211">
        <v>417210000000</v>
      </c>
      <c r="H211">
        <f>Sheet1[[#This Row],[Volume (24h)]]/Sheet1[[#This Row],[Circulating Supply]]</f>
        <v>5.2402866661872919E-7</v>
      </c>
      <c r="I211">
        <f>RANK(Sheet1[[#This Row],[Market Cap]],Sheet1[Market Cap],0)</f>
        <v>210</v>
      </c>
      <c r="J211" t="str">
        <f t="shared" si="3"/>
        <v>0-0.5</v>
      </c>
    </row>
    <row r="212" spans="1:10" x14ac:dyDescent="0.3">
      <c r="A212" t="s">
        <v>409</v>
      </c>
      <c r="B212" t="s">
        <v>410</v>
      </c>
      <c r="C212">
        <v>8.6300000000000002E-2</v>
      </c>
      <c r="D212">
        <v>0.98</v>
      </c>
      <c r="E212">
        <v>2640000</v>
      </c>
      <c r="F212">
        <v>30710</v>
      </c>
      <c r="G212">
        <v>420680000000000</v>
      </c>
      <c r="H212">
        <f>Sheet1[[#This Row],[Volume (24h)]]/Sheet1[[#This Row],[Circulating Supply]]</f>
        <v>7.3000855757345245E-11</v>
      </c>
      <c r="I212">
        <f>RANK(Sheet1[[#This Row],[Market Cap]],Sheet1[Market Cap],0)</f>
        <v>211</v>
      </c>
      <c r="J212" t="str">
        <f t="shared" si="3"/>
        <v>0-0.5</v>
      </c>
    </row>
    <row r="213" spans="1:10" x14ac:dyDescent="0.3">
      <c r="A213" t="s">
        <v>411</v>
      </c>
      <c r="B213" t="s">
        <v>412</v>
      </c>
      <c r="C213">
        <v>4.0000000000000001E-3</v>
      </c>
      <c r="D213">
        <v>0.01</v>
      </c>
      <c r="E213">
        <v>2620000</v>
      </c>
      <c r="F213">
        <v>4330</v>
      </c>
      <c r="G213">
        <v>664040000</v>
      </c>
      <c r="H213">
        <f>Sheet1[[#This Row],[Volume (24h)]]/Sheet1[[#This Row],[Circulating Supply]]</f>
        <v>6.520691524606951E-6</v>
      </c>
      <c r="I213">
        <f>RANK(Sheet1[[#This Row],[Market Cap]],Sheet1[Market Cap],0)</f>
        <v>212</v>
      </c>
      <c r="J213" t="str">
        <f t="shared" si="3"/>
        <v>0-0.5</v>
      </c>
    </row>
    <row r="214" spans="1:10" x14ac:dyDescent="0.3">
      <c r="A214" t="s">
        <v>413</v>
      </c>
      <c r="B214" t="s">
        <v>413</v>
      </c>
      <c r="C214">
        <v>1.8E-3</v>
      </c>
      <c r="D214">
        <v>0.35</v>
      </c>
      <c r="E214">
        <v>2620000</v>
      </c>
      <c r="F214">
        <v>279310</v>
      </c>
      <c r="G214">
        <v>1420000000</v>
      </c>
      <c r="H214">
        <f>Sheet1[[#This Row],[Volume (24h)]]/Sheet1[[#This Row],[Circulating Supply]]</f>
        <v>1.9669718309859154E-4</v>
      </c>
      <c r="I214">
        <f>RANK(Sheet1[[#This Row],[Market Cap]],Sheet1[Market Cap],0)</f>
        <v>212</v>
      </c>
      <c r="J214" t="str">
        <f t="shared" si="3"/>
        <v>0-0.5</v>
      </c>
    </row>
    <row r="215" spans="1:10" x14ac:dyDescent="0.3">
      <c r="A215" t="s">
        <v>414</v>
      </c>
      <c r="B215" t="s">
        <v>415</v>
      </c>
      <c r="C215">
        <v>2.7099999999999999E-2</v>
      </c>
      <c r="D215">
        <v>0.48</v>
      </c>
      <c r="E215">
        <v>2610000</v>
      </c>
      <c r="F215">
        <v>14640</v>
      </c>
      <c r="G215">
        <v>96190000</v>
      </c>
      <c r="H215">
        <f>Sheet1[[#This Row],[Volume (24h)]]/Sheet1[[#This Row],[Circulating Supply]]</f>
        <v>1.5219877326125376E-4</v>
      </c>
      <c r="I215">
        <f>RANK(Sheet1[[#This Row],[Market Cap]],Sheet1[Market Cap],0)</f>
        <v>214</v>
      </c>
      <c r="J215" t="str">
        <f t="shared" si="3"/>
        <v>0-0.5</v>
      </c>
    </row>
    <row r="216" spans="1:10" x14ac:dyDescent="0.3">
      <c r="A216" t="s">
        <v>416</v>
      </c>
      <c r="B216" t="s">
        <v>417</v>
      </c>
      <c r="C216">
        <v>2.2200000000000001E-2</v>
      </c>
      <c r="D216">
        <v>0.09</v>
      </c>
      <c r="E216">
        <v>2600000</v>
      </c>
      <c r="F216">
        <v>187120</v>
      </c>
      <c r="G216">
        <v>117180000</v>
      </c>
      <c r="H216">
        <f>Sheet1[[#This Row],[Volume (24h)]]/Sheet1[[#This Row],[Circulating Supply]]</f>
        <v>1.5968595323434033E-3</v>
      </c>
      <c r="I216">
        <f>RANK(Sheet1[[#This Row],[Market Cap]],Sheet1[Market Cap],0)</f>
        <v>215</v>
      </c>
      <c r="J216" t="str">
        <f t="shared" si="3"/>
        <v>0-0.5</v>
      </c>
    </row>
    <row r="217" spans="1:10" x14ac:dyDescent="0.3">
      <c r="A217" t="s">
        <v>418</v>
      </c>
      <c r="B217" t="s">
        <v>419</v>
      </c>
      <c r="C217">
        <v>554.79999999999995</v>
      </c>
      <c r="D217">
        <v>0.08</v>
      </c>
      <c r="E217">
        <v>2590000</v>
      </c>
      <c r="F217">
        <v>155200</v>
      </c>
      <c r="G217">
        <v>4680</v>
      </c>
      <c r="H217">
        <f>Sheet1[[#This Row],[Volume (24h)]]/Sheet1[[#This Row],[Circulating Supply]]</f>
        <v>33.162393162393165</v>
      </c>
      <c r="I217">
        <f>RANK(Sheet1[[#This Row],[Market Cap]],Sheet1[Market Cap],0)</f>
        <v>216</v>
      </c>
      <c r="J217" t="str">
        <f t="shared" si="3"/>
        <v>0-0.5</v>
      </c>
    </row>
    <row r="218" spans="1:10" x14ac:dyDescent="0.3">
      <c r="A218" t="s">
        <v>420</v>
      </c>
      <c r="B218" t="s">
        <v>421</v>
      </c>
      <c r="C218">
        <v>1.32E-2</v>
      </c>
      <c r="D218">
        <v>0.04</v>
      </c>
      <c r="E218">
        <v>2580000</v>
      </c>
      <c r="F218">
        <v>1130</v>
      </c>
      <c r="G218">
        <v>195420000</v>
      </c>
      <c r="H218">
        <f>Sheet1[[#This Row],[Volume (24h)]]/Sheet1[[#This Row],[Circulating Supply]]</f>
        <v>5.7824173574864392E-6</v>
      </c>
      <c r="I218">
        <f>RANK(Sheet1[[#This Row],[Market Cap]],Sheet1[Market Cap],0)</f>
        <v>217</v>
      </c>
      <c r="J218" t="str">
        <f t="shared" si="3"/>
        <v>0-0.5</v>
      </c>
    </row>
    <row r="219" spans="1:10" x14ac:dyDescent="0.3">
      <c r="A219" t="s">
        <v>422</v>
      </c>
      <c r="B219" t="s">
        <v>422</v>
      </c>
      <c r="C219">
        <v>7.4999999999999997E-3</v>
      </c>
      <c r="D219">
        <v>0.05</v>
      </c>
      <c r="E219">
        <v>2570000</v>
      </c>
      <c r="F219">
        <v>430670</v>
      </c>
      <c r="G219">
        <v>344850000</v>
      </c>
      <c r="H219">
        <f>Sheet1[[#This Row],[Volume (24h)]]/Sheet1[[#This Row],[Circulating Supply]]</f>
        <v>1.2488618239814412E-3</v>
      </c>
      <c r="I219">
        <f>RANK(Sheet1[[#This Row],[Market Cap]],Sheet1[Market Cap],0)</f>
        <v>218</v>
      </c>
      <c r="J219" t="str">
        <f t="shared" si="3"/>
        <v>0-0.5</v>
      </c>
    </row>
    <row r="220" spans="1:10" x14ac:dyDescent="0.3">
      <c r="A220" t="s">
        <v>423</v>
      </c>
      <c r="B220" t="s">
        <v>423</v>
      </c>
      <c r="C220">
        <v>2.2499999999999999E-2</v>
      </c>
      <c r="D220">
        <v>0.28000000000000003</v>
      </c>
      <c r="E220">
        <v>2570000</v>
      </c>
      <c r="F220">
        <v>112920</v>
      </c>
      <c r="G220">
        <v>114350000</v>
      </c>
      <c r="H220">
        <f>Sheet1[[#This Row],[Volume (24h)]]/Sheet1[[#This Row],[Circulating Supply]]</f>
        <v>9.8749453432444255E-4</v>
      </c>
      <c r="I220">
        <f>RANK(Sheet1[[#This Row],[Market Cap]],Sheet1[Market Cap],0)</f>
        <v>218</v>
      </c>
      <c r="J220" t="str">
        <f t="shared" si="3"/>
        <v>0-0.5</v>
      </c>
    </row>
    <row r="221" spans="1:10" x14ac:dyDescent="0.3">
      <c r="A221" t="s">
        <v>424</v>
      </c>
      <c r="B221" t="s">
        <v>424</v>
      </c>
      <c r="C221">
        <v>3.2000000000000002E-3</v>
      </c>
      <c r="D221">
        <v>0.32</v>
      </c>
      <c r="E221">
        <v>2560000</v>
      </c>
      <c r="F221">
        <v>445.59</v>
      </c>
      <c r="G221">
        <v>792550000</v>
      </c>
      <c r="H221">
        <f>Sheet1[[#This Row],[Volume (24h)]]/Sheet1[[#This Row],[Circulating Supply]]</f>
        <v>5.6222320358337011E-7</v>
      </c>
      <c r="I221">
        <f>RANK(Sheet1[[#This Row],[Market Cap]],Sheet1[Market Cap],0)</f>
        <v>220</v>
      </c>
      <c r="J221" t="str">
        <f t="shared" si="3"/>
        <v>0-0.5</v>
      </c>
    </row>
    <row r="222" spans="1:10" x14ac:dyDescent="0.3">
      <c r="A222" t="s">
        <v>425</v>
      </c>
      <c r="B222" t="s">
        <v>426</v>
      </c>
      <c r="C222">
        <v>9.5999999999999992E-3</v>
      </c>
      <c r="D222">
        <v>2.42</v>
      </c>
      <c r="E222">
        <v>2550000</v>
      </c>
      <c r="F222">
        <v>156510</v>
      </c>
      <c r="G222">
        <v>266770000</v>
      </c>
      <c r="H222">
        <f>Sheet1[[#This Row],[Volume (24h)]]/Sheet1[[#This Row],[Circulating Supply]]</f>
        <v>5.8668515950069345E-4</v>
      </c>
      <c r="I222">
        <f>RANK(Sheet1[[#This Row],[Market Cap]],Sheet1[Market Cap],0)</f>
        <v>221</v>
      </c>
      <c r="J222" t="str">
        <f t="shared" si="3"/>
        <v>0-0.5</v>
      </c>
    </row>
    <row r="223" spans="1:10" x14ac:dyDescent="0.3">
      <c r="A223" t="s">
        <v>427</v>
      </c>
      <c r="B223" t="s">
        <v>428</v>
      </c>
      <c r="C223">
        <v>4.0000000000000002E-4</v>
      </c>
      <c r="D223">
        <v>0.26</v>
      </c>
      <c r="E223">
        <v>2540000</v>
      </c>
      <c r="F223">
        <v>13730</v>
      </c>
      <c r="G223">
        <v>5960000000</v>
      </c>
      <c r="H223">
        <f>Sheet1[[#This Row],[Volume (24h)]]/Sheet1[[#This Row],[Circulating Supply]]</f>
        <v>2.3036912751677852E-6</v>
      </c>
      <c r="I223">
        <f>RANK(Sheet1[[#This Row],[Market Cap]],Sheet1[Market Cap],0)</f>
        <v>222</v>
      </c>
      <c r="J223" t="str">
        <f t="shared" si="3"/>
        <v>0-0.5</v>
      </c>
    </row>
    <row r="224" spans="1:10" x14ac:dyDescent="0.3">
      <c r="A224" t="s">
        <v>429</v>
      </c>
      <c r="B224" t="s">
        <v>430</v>
      </c>
      <c r="C224">
        <v>1.8E-3</v>
      </c>
      <c r="D224">
        <v>0.52</v>
      </c>
      <c r="E224">
        <v>2540000</v>
      </c>
      <c r="F224">
        <v>23360</v>
      </c>
      <c r="G224">
        <v>1430000000</v>
      </c>
      <c r="H224">
        <f>Sheet1[[#This Row],[Volume (24h)]]/Sheet1[[#This Row],[Circulating Supply]]</f>
        <v>1.6335664335664336E-5</v>
      </c>
      <c r="I224">
        <f>RANK(Sheet1[[#This Row],[Market Cap]],Sheet1[Market Cap],0)</f>
        <v>222</v>
      </c>
      <c r="J224" t="str">
        <f t="shared" si="3"/>
        <v>0-0.5</v>
      </c>
    </row>
    <row r="225" spans="1:10" x14ac:dyDescent="0.3">
      <c r="A225" t="s">
        <v>431</v>
      </c>
      <c r="B225" t="s">
        <v>432</v>
      </c>
      <c r="C225">
        <v>0.25609999999999999</v>
      </c>
      <c r="D225">
        <v>0.04</v>
      </c>
      <c r="E225">
        <v>2540000</v>
      </c>
      <c r="F225">
        <v>109700</v>
      </c>
      <c r="G225">
        <v>9930000</v>
      </c>
      <c r="H225">
        <f>Sheet1[[#This Row],[Volume (24h)]]/Sheet1[[#This Row],[Circulating Supply]]</f>
        <v>1.1047331319234643E-2</v>
      </c>
      <c r="I225">
        <f>RANK(Sheet1[[#This Row],[Market Cap]],Sheet1[Market Cap],0)</f>
        <v>222</v>
      </c>
      <c r="J225" t="str">
        <f t="shared" si="3"/>
        <v>0-0.5</v>
      </c>
    </row>
    <row r="226" spans="1:10" x14ac:dyDescent="0.3">
      <c r="A226" t="s">
        <v>433</v>
      </c>
      <c r="B226" t="s">
        <v>434</v>
      </c>
      <c r="C226">
        <v>4.1300000000000003E-2</v>
      </c>
      <c r="D226">
        <v>0</v>
      </c>
      <c r="E226">
        <v>2540000</v>
      </c>
      <c r="F226">
        <v>8440</v>
      </c>
      <c r="G226">
        <v>61480000</v>
      </c>
      <c r="H226">
        <f>Sheet1[[#This Row],[Volume (24h)]]/Sheet1[[#This Row],[Circulating Supply]]</f>
        <v>1.372804163955758E-4</v>
      </c>
      <c r="I226">
        <f>RANK(Sheet1[[#This Row],[Market Cap]],Sheet1[Market Cap],0)</f>
        <v>222</v>
      </c>
      <c r="J226" t="str">
        <f t="shared" si="3"/>
        <v>0-0.5</v>
      </c>
    </row>
    <row r="227" spans="1:10" x14ac:dyDescent="0.3">
      <c r="A227" t="s">
        <v>435</v>
      </c>
      <c r="B227" t="s">
        <v>436</v>
      </c>
      <c r="C227">
        <v>2E-3</v>
      </c>
      <c r="D227">
        <v>0.52</v>
      </c>
      <c r="E227">
        <v>2040000</v>
      </c>
      <c r="F227">
        <v>159560</v>
      </c>
      <c r="G227">
        <v>999970000</v>
      </c>
      <c r="H227">
        <f>Sheet1[[#This Row],[Volume (24h)]]/Sheet1[[#This Row],[Circulating Supply]]</f>
        <v>1.5956478694360832E-4</v>
      </c>
      <c r="I227">
        <f>RANK(Sheet1[[#This Row],[Market Cap]],Sheet1[Market Cap],0)</f>
        <v>226</v>
      </c>
      <c r="J227" t="str">
        <f t="shared" si="3"/>
        <v>0-0.5</v>
      </c>
    </row>
    <row r="228" spans="1:10" x14ac:dyDescent="0.3">
      <c r="A228" t="s">
        <v>437</v>
      </c>
      <c r="B228" t="s">
        <v>438</v>
      </c>
      <c r="C228">
        <v>9.9400000000000002E-2</v>
      </c>
      <c r="D228">
        <v>1.25</v>
      </c>
      <c r="E228">
        <v>2040000</v>
      </c>
      <c r="F228">
        <v>242970</v>
      </c>
      <c r="G228">
        <v>20580000</v>
      </c>
      <c r="H228">
        <f>Sheet1[[#This Row],[Volume (24h)]]/Sheet1[[#This Row],[Circulating Supply]]</f>
        <v>1.1806122448979592E-2</v>
      </c>
      <c r="I228">
        <f>RANK(Sheet1[[#This Row],[Market Cap]],Sheet1[Market Cap],0)</f>
        <v>226</v>
      </c>
      <c r="J228" t="str">
        <f t="shared" si="3"/>
        <v>0-0.5</v>
      </c>
    </row>
    <row r="229" spans="1:10" x14ac:dyDescent="0.3">
      <c r="A229" t="s">
        <v>439</v>
      </c>
      <c r="B229" t="s">
        <v>440</v>
      </c>
      <c r="C229">
        <v>404.09</v>
      </c>
      <c r="D229">
        <v>0.04</v>
      </c>
      <c r="E229">
        <v>2040000</v>
      </c>
      <c r="F229">
        <v>171250</v>
      </c>
      <c r="G229">
        <v>5050</v>
      </c>
      <c r="H229">
        <f>Sheet1[[#This Row],[Volume (24h)]]/Sheet1[[#This Row],[Circulating Supply]]</f>
        <v>33.910891089108908</v>
      </c>
      <c r="I229">
        <f>RANK(Sheet1[[#This Row],[Market Cap]],Sheet1[Market Cap],0)</f>
        <v>226</v>
      </c>
      <c r="J229" t="str">
        <f t="shared" si="3"/>
        <v>0-0.5</v>
      </c>
    </row>
    <row r="230" spans="1:10" x14ac:dyDescent="0.3">
      <c r="A230" t="s">
        <v>441</v>
      </c>
      <c r="B230" t="s">
        <v>442</v>
      </c>
      <c r="C230">
        <v>59.16</v>
      </c>
      <c r="D230">
        <v>2.37</v>
      </c>
      <c r="E230">
        <v>2030000</v>
      </c>
      <c r="F230">
        <v>6720000</v>
      </c>
      <c r="G230">
        <v>34460</v>
      </c>
      <c r="H230">
        <f>Sheet1[[#This Row],[Volume (24h)]]/Sheet1[[#This Row],[Circulating Supply]]</f>
        <v>195.00870574579221</v>
      </c>
      <c r="I230">
        <f>RANK(Sheet1[[#This Row],[Market Cap]],Sheet1[Market Cap],0)</f>
        <v>229</v>
      </c>
      <c r="J230" t="str">
        <f t="shared" si="3"/>
        <v>0-0.5</v>
      </c>
    </row>
    <row r="231" spans="1:10" x14ac:dyDescent="0.3">
      <c r="A231" t="s">
        <v>443</v>
      </c>
      <c r="B231" t="s">
        <v>444</v>
      </c>
      <c r="C231">
        <v>64.08</v>
      </c>
      <c r="D231">
        <v>0.61</v>
      </c>
      <c r="E231">
        <v>2030000</v>
      </c>
      <c r="F231">
        <v>1760000</v>
      </c>
      <c r="G231">
        <v>31780</v>
      </c>
      <c r="H231">
        <f>Sheet1[[#This Row],[Volume (24h)]]/Sheet1[[#This Row],[Circulating Supply]]</f>
        <v>55.380742605412209</v>
      </c>
      <c r="I231">
        <f>RANK(Sheet1[[#This Row],[Market Cap]],Sheet1[Market Cap],0)</f>
        <v>229</v>
      </c>
      <c r="J231" t="str">
        <f t="shared" si="3"/>
        <v>0-0.5</v>
      </c>
    </row>
    <row r="232" spans="1:10" x14ac:dyDescent="0.3">
      <c r="A232" t="s">
        <v>445</v>
      </c>
      <c r="B232" t="s">
        <v>446</v>
      </c>
      <c r="C232">
        <v>2.2000000000000001E-3</v>
      </c>
      <c r="D232">
        <v>0.47</v>
      </c>
      <c r="E232">
        <v>2030000</v>
      </c>
      <c r="F232">
        <v>185590</v>
      </c>
      <c r="G232">
        <v>904010000</v>
      </c>
      <c r="H232">
        <f>Sheet1[[#This Row],[Volume (24h)]]/Sheet1[[#This Row],[Circulating Supply]]</f>
        <v>2.0529640158847801E-4</v>
      </c>
      <c r="I232">
        <f>RANK(Sheet1[[#This Row],[Market Cap]],Sheet1[Market Cap],0)</f>
        <v>229</v>
      </c>
      <c r="J232" t="str">
        <f t="shared" si="3"/>
        <v>0-0.5</v>
      </c>
    </row>
    <row r="233" spans="1:10" x14ac:dyDescent="0.3">
      <c r="A233" t="s">
        <v>447</v>
      </c>
      <c r="B233" t="s">
        <v>448</v>
      </c>
      <c r="C233">
        <v>121.88</v>
      </c>
      <c r="D233">
        <v>0.18</v>
      </c>
      <c r="E233">
        <v>2020000</v>
      </c>
      <c r="F233">
        <v>1290000</v>
      </c>
      <c r="G233">
        <v>16590</v>
      </c>
      <c r="H233">
        <f>Sheet1[[#This Row],[Volume (24h)]]/Sheet1[[#This Row],[Circulating Supply]]</f>
        <v>77.757685352622062</v>
      </c>
      <c r="I233">
        <f>RANK(Sheet1[[#This Row],[Market Cap]],Sheet1[Market Cap],0)</f>
        <v>232</v>
      </c>
      <c r="J233" t="str">
        <f t="shared" si="3"/>
        <v>0-0.5</v>
      </c>
    </row>
    <row r="234" spans="1:10" x14ac:dyDescent="0.3">
      <c r="A234" t="s">
        <v>449</v>
      </c>
      <c r="B234" t="s">
        <v>450</v>
      </c>
      <c r="C234">
        <v>147.44</v>
      </c>
      <c r="D234">
        <v>0.16</v>
      </c>
      <c r="E234">
        <v>2020000</v>
      </c>
      <c r="F234">
        <v>1640000</v>
      </c>
      <c r="G234">
        <v>13710</v>
      </c>
      <c r="H234">
        <f>Sheet1[[#This Row],[Volume (24h)]]/Sheet1[[#This Row],[Circulating Supply]]</f>
        <v>119.62071480671042</v>
      </c>
      <c r="I234">
        <f>RANK(Sheet1[[#This Row],[Market Cap]],Sheet1[Market Cap],0)</f>
        <v>232</v>
      </c>
      <c r="J234" t="str">
        <f t="shared" si="3"/>
        <v>0-0.5</v>
      </c>
    </row>
    <row r="235" spans="1:10" x14ac:dyDescent="0.3">
      <c r="A235" t="s">
        <v>451</v>
      </c>
      <c r="B235" t="s">
        <v>452</v>
      </c>
      <c r="C235">
        <v>7.7999999999999996E-3</v>
      </c>
      <c r="D235">
        <v>0.13</v>
      </c>
      <c r="E235">
        <v>2010000</v>
      </c>
      <c r="F235">
        <v>64330</v>
      </c>
      <c r="G235">
        <v>257950000</v>
      </c>
      <c r="H235">
        <f>Sheet1[[#This Row],[Volume (24h)]]/Sheet1[[#This Row],[Circulating Supply]]</f>
        <v>2.4938941655359563E-4</v>
      </c>
      <c r="I235">
        <f>RANK(Sheet1[[#This Row],[Market Cap]],Sheet1[Market Cap],0)</f>
        <v>234</v>
      </c>
      <c r="J235" t="str">
        <f t="shared" si="3"/>
        <v>0-0.5</v>
      </c>
    </row>
    <row r="236" spans="1:10" x14ac:dyDescent="0.3">
      <c r="A236" t="s">
        <v>453</v>
      </c>
      <c r="B236" t="s">
        <v>454</v>
      </c>
      <c r="C236">
        <v>2.0000000000000001E-4</v>
      </c>
      <c r="D236">
        <v>1.75</v>
      </c>
      <c r="E236">
        <v>2000000</v>
      </c>
      <c r="F236">
        <v>8870</v>
      </c>
      <c r="G236">
        <v>10260000000</v>
      </c>
      <c r="H236">
        <f>Sheet1[[#This Row],[Volume (24h)]]/Sheet1[[#This Row],[Circulating Supply]]</f>
        <v>8.6452241715399614E-7</v>
      </c>
      <c r="I236">
        <f>RANK(Sheet1[[#This Row],[Market Cap]],Sheet1[Market Cap],0)</f>
        <v>235</v>
      </c>
      <c r="J236" t="str">
        <f t="shared" si="3"/>
        <v>0-0.5</v>
      </c>
    </row>
    <row r="237" spans="1:10" x14ac:dyDescent="0.3">
      <c r="A237" t="s">
        <v>455</v>
      </c>
      <c r="B237" t="s">
        <v>455</v>
      </c>
      <c r="C237">
        <v>6.7000000000000002E-3</v>
      </c>
      <c r="D237">
        <v>0</v>
      </c>
      <c r="E237">
        <v>2000000</v>
      </c>
      <c r="G237">
        <v>299980000</v>
      </c>
      <c r="H237">
        <f>Sheet1[[#This Row],[Volume (24h)]]/Sheet1[[#This Row],[Circulating Supply]]</f>
        <v>0</v>
      </c>
      <c r="I237">
        <f>RANK(Sheet1[[#This Row],[Market Cap]],Sheet1[Market Cap],0)</f>
        <v>235</v>
      </c>
      <c r="J237" t="str">
        <f t="shared" si="3"/>
        <v>0-0.5</v>
      </c>
    </row>
    <row r="238" spans="1:10" x14ac:dyDescent="0.3">
      <c r="A238" t="s">
        <v>456</v>
      </c>
      <c r="B238" t="s">
        <v>457</v>
      </c>
      <c r="C238">
        <v>6.9999999999999999E-4</v>
      </c>
      <c r="D238">
        <v>0.67</v>
      </c>
      <c r="E238">
        <v>1990000</v>
      </c>
      <c r="F238">
        <v>75080</v>
      </c>
      <c r="G238">
        <v>2680000000</v>
      </c>
      <c r="H238">
        <f>Sheet1[[#This Row],[Volume (24h)]]/Sheet1[[#This Row],[Circulating Supply]]</f>
        <v>2.8014925373134327E-5</v>
      </c>
      <c r="I238">
        <f>RANK(Sheet1[[#This Row],[Market Cap]],Sheet1[Market Cap],0)</f>
        <v>237</v>
      </c>
      <c r="J238" t="str">
        <f t="shared" si="3"/>
        <v>0-0.5</v>
      </c>
    </row>
    <row r="239" spans="1:10" x14ac:dyDescent="0.3">
      <c r="A239" t="s">
        <v>458</v>
      </c>
      <c r="B239" t="s">
        <v>459</v>
      </c>
      <c r="C239">
        <v>7.1300000000000002E-2</v>
      </c>
      <c r="D239">
        <v>1.29</v>
      </c>
      <c r="E239">
        <v>1990000</v>
      </c>
      <c r="F239">
        <v>2500</v>
      </c>
      <c r="G239">
        <v>151420000000000</v>
      </c>
      <c r="H239">
        <f>Sheet1[[#This Row],[Volume (24h)]]/Sheet1[[#This Row],[Circulating Supply]]</f>
        <v>1.6510368511425176E-11</v>
      </c>
      <c r="I239">
        <f>RANK(Sheet1[[#This Row],[Market Cap]],Sheet1[Market Cap],0)</f>
        <v>237</v>
      </c>
      <c r="J239" t="str">
        <f t="shared" si="3"/>
        <v>0-0.5</v>
      </c>
    </row>
    <row r="240" spans="1:10" x14ac:dyDescent="0.3">
      <c r="A240" t="s">
        <v>460</v>
      </c>
      <c r="B240" t="s">
        <v>461</v>
      </c>
      <c r="C240">
        <v>2.9999999999999997E-4</v>
      </c>
      <c r="D240">
        <v>1.92</v>
      </c>
      <c r="E240">
        <v>1980000</v>
      </c>
      <c r="F240">
        <v>100520</v>
      </c>
      <c r="G240">
        <v>7800000000</v>
      </c>
      <c r="H240">
        <f>Sheet1[[#This Row],[Volume (24h)]]/Sheet1[[#This Row],[Circulating Supply]]</f>
        <v>1.2887179487179487E-5</v>
      </c>
      <c r="I240">
        <f>RANK(Sheet1[[#This Row],[Market Cap]],Sheet1[Market Cap],0)</f>
        <v>239</v>
      </c>
      <c r="J240" t="str">
        <f t="shared" si="3"/>
        <v>0-0.5</v>
      </c>
    </row>
    <row r="241" spans="1:10" x14ac:dyDescent="0.3">
      <c r="A241" t="s">
        <v>462</v>
      </c>
      <c r="B241" t="s">
        <v>462</v>
      </c>
      <c r="C241">
        <v>0</v>
      </c>
      <c r="D241">
        <v>0.36</v>
      </c>
      <c r="E241">
        <v>1980000</v>
      </c>
      <c r="F241">
        <v>826.89</v>
      </c>
      <c r="G241">
        <v>77570000000</v>
      </c>
      <c r="H241">
        <f>Sheet1[[#This Row],[Volume (24h)]]/Sheet1[[#This Row],[Circulating Supply]]</f>
        <v>1.0659920072192858E-8</v>
      </c>
      <c r="I241">
        <f>RANK(Sheet1[[#This Row],[Market Cap]],Sheet1[Market Cap],0)</f>
        <v>239</v>
      </c>
      <c r="J241" t="str">
        <f t="shared" si="3"/>
        <v>0-0.5</v>
      </c>
    </row>
    <row r="242" spans="1:10" x14ac:dyDescent="0.3">
      <c r="A242" t="s">
        <v>463</v>
      </c>
      <c r="B242" t="s">
        <v>464</v>
      </c>
      <c r="C242">
        <v>1.6199999999999999E-2</v>
      </c>
      <c r="D242">
        <v>2.2599999999999998</v>
      </c>
      <c r="E242">
        <v>1620000</v>
      </c>
      <c r="F242">
        <v>335.35</v>
      </c>
      <c r="G242">
        <v>100000000</v>
      </c>
      <c r="H242">
        <f>Sheet1[[#This Row],[Volume (24h)]]/Sheet1[[#This Row],[Circulating Supply]]</f>
        <v>3.3535000000000002E-6</v>
      </c>
      <c r="I242">
        <f>RANK(Sheet1[[#This Row],[Market Cap]],Sheet1[Market Cap],0)</f>
        <v>241</v>
      </c>
      <c r="J242" t="str">
        <f t="shared" si="3"/>
        <v>0-0.5</v>
      </c>
    </row>
    <row r="243" spans="1:10" x14ac:dyDescent="0.3">
      <c r="A243" t="s">
        <v>465</v>
      </c>
      <c r="B243" t="s">
        <v>466</v>
      </c>
      <c r="C243">
        <v>5.16E-2</v>
      </c>
      <c r="D243">
        <v>0.04</v>
      </c>
      <c r="E243">
        <v>1610000</v>
      </c>
      <c r="F243">
        <v>103570</v>
      </c>
      <c r="G243">
        <v>1000000000000</v>
      </c>
      <c r="H243">
        <f>Sheet1[[#This Row],[Volume (24h)]]/Sheet1[[#This Row],[Circulating Supply]]</f>
        <v>1.0356999999999999E-7</v>
      </c>
      <c r="I243">
        <f>RANK(Sheet1[[#This Row],[Market Cap]],Sheet1[Market Cap],0)</f>
        <v>242</v>
      </c>
      <c r="J243" t="str">
        <f t="shared" si="3"/>
        <v>0-0.5</v>
      </c>
    </row>
    <row r="244" spans="1:10" x14ac:dyDescent="0.3">
      <c r="A244" t="s">
        <v>467</v>
      </c>
      <c r="B244" t="s">
        <v>468</v>
      </c>
      <c r="C244">
        <v>2.0000000000000001E-4</v>
      </c>
      <c r="D244">
        <v>0</v>
      </c>
      <c r="E244">
        <v>1600000</v>
      </c>
      <c r="G244">
        <v>7700000000</v>
      </c>
      <c r="H244">
        <f>Sheet1[[#This Row],[Volume (24h)]]/Sheet1[[#This Row],[Circulating Supply]]</f>
        <v>0</v>
      </c>
      <c r="I244">
        <f>RANK(Sheet1[[#This Row],[Market Cap]],Sheet1[Market Cap],0)</f>
        <v>243</v>
      </c>
      <c r="J244" t="str">
        <f t="shared" si="3"/>
        <v>0-0.5</v>
      </c>
    </row>
    <row r="245" spans="1:10" x14ac:dyDescent="0.3">
      <c r="A245" t="s">
        <v>469</v>
      </c>
      <c r="B245" t="s">
        <v>470</v>
      </c>
      <c r="C245">
        <v>145.94</v>
      </c>
      <c r="D245">
        <v>0.63</v>
      </c>
      <c r="E245">
        <v>1600000</v>
      </c>
      <c r="F245">
        <v>468100</v>
      </c>
      <c r="G245">
        <v>10970</v>
      </c>
      <c r="H245">
        <f>Sheet1[[#This Row],[Volume (24h)]]/Sheet1[[#This Row],[Circulating Supply]]</f>
        <v>42.670920692798539</v>
      </c>
      <c r="I245">
        <f>RANK(Sheet1[[#This Row],[Market Cap]],Sheet1[Market Cap],0)</f>
        <v>243</v>
      </c>
      <c r="J245" t="str">
        <f t="shared" si="3"/>
        <v>0-0.5</v>
      </c>
    </row>
    <row r="246" spans="1:10" x14ac:dyDescent="0.3">
      <c r="A246" t="s">
        <v>471</v>
      </c>
      <c r="B246" t="s">
        <v>472</v>
      </c>
      <c r="C246">
        <v>3.0000000000000001E-3</v>
      </c>
      <c r="D246">
        <v>1.36</v>
      </c>
      <c r="E246">
        <v>1600000</v>
      </c>
      <c r="F246">
        <v>151140</v>
      </c>
      <c r="G246">
        <v>537270000</v>
      </c>
      <c r="H246">
        <f>Sheet1[[#This Row],[Volume (24h)]]/Sheet1[[#This Row],[Circulating Supply]]</f>
        <v>2.8131107264503882E-4</v>
      </c>
      <c r="I246">
        <f>RANK(Sheet1[[#This Row],[Market Cap]],Sheet1[Market Cap],0)</f>
        <v>243</v>
      </c>
      <c r="J246" t="str">
        <f t="shared" si="3"/>
        <v>0-0.5</v>
      </c>
    </row>
    <row r="247" spans="1:10" x14ac:dyDescent="0.3">
      <c r="A247" t="s">
        <v>473</v>
      </c>
      <c r="B247" t="s">
        <v>474</v>
      </c>
      <c r="C247">
        <v>2.0000000000000001E-4</v>
      </c>
      <c r="D247">
        <v>0</v>
      </c>
      <c r="E247">
        <v>1590000</v>
      </c>
      <c r="F247">
        <v>23440</v>
      </c>
      <c r="G247">
        <v>8790000000</v>
      </c>
      <c r="H247">
        <f>Sheet1[[#This Row],[Volume (24h)]]/Sheet1[[#This Row],[Circulating Supply]]</f>
        <v>2.6666666666666668E-6</v>
      </c>
      <c r="I247">
        <f>RANK(Sheet1[[#This Row],[Market Cap]],Sheet1[Market Cap],0)</f>
        <v>246</v>
      </c>
      <c r="J247" t="str">
        <f t="shared" si="3"/>
        <v>0-0.5</v>
      </c>
    </row>
    <row r="248" spans="1:10" x14ac:dyDescent="0.3">
      <c r="A248" t="s">
        <v>475</v>
      </c>
      <c r="B248" t="s">
        <v>476</v>
      </c>
      <c r="C248">
        <v>6.6100000000000006E-2</v>
      </c>
      <c r="D248">
        <v>0.71</v>
      </c>
      <c r="E248">
        <v>1590000</v>
      </c>
      <c r="F248">
        <v>375690</v>
      </c>
      <c r="G248">
        <v>24060000</v>
      </c>
      <c r="H248">
        <f>Sheet1[[#This Row],[Volume (24h)]]/Sheet1[[#This Row],[Circulating Supply]]</f>
        <v>1.5614713216957605E-2</v>
      </c>
      <c r="I248">
        <f>RANK(Sheet1[[#This Row],[Market Cap]],Sheet1[Market Cap],0)</f>
        <v>246</v>
      </c>
      <c r="J248" t="str">
        <f t="shared" si="3"/>
        <v>0-0.5</v>
      </c>
    </row>
    <row r="249" spans="1:10" x14ac:dyDescent="0.3">
      <c r="A249" t="s">
        <v>477</v>
      </c>
      <c r="B249" t="s">
        <v>478</v>
      </c>
      <c r="C249">
        <v>8.48E-2</v>
      </c>
      <c r="D249">
        <v>0.53</v>
      </c>
      <c r="E249">
        <v>1580000</v>
      </c>
      <c r="F249">
        <v>324580</v>
      </c>
      <c r="G249">
        <v>18710000</v>
      </c>
      <c r="H249">
        <f>Sheet1[[#This Row],[Volume (24h)]]/Sheet1[[#This Row],[Circulating Supply]]</f>
        <v>1.7347942276857296E-2</v>
      </c>
      <c r="I249">
        <f>RANK(Sheet1[[#This Row],[Market Cap]],Sheet1[Market Cap],0)</f>
        <v>249</v>
      </c>
      <c r="J249" t="str">
        <f t="shared" si="3"/>
        <v>0-0.5</v>
      </c>
    </row>
    <row r="250" spans="1:10" x14ac:dyDescent="0.3">
      <c r="A250" t="s">
        <v>479</v>
      </c>
      <c r="B250" t="s">
        <v>480</v>
      </c>
      <c r="C250">
        <v>8.0999999999999996E-3</v>
      </c>
      <c r="D250">
        <v>0.27</v>
      </c>
      <c r="E250">
        <v>1590000</v>
      </c>
      <c r="F250">
        <v>1100000</v>
      </c>
      <c r="G250">
        <v>197300000</v>
      </c>
      <c r="H250">
        <f>Sheet1[[#This Row],[Volume (24h)]]/Sheet1[[#This Row],[Circulating Supply]]</f>
        <v>5.5752660922453118E-3</v>
      </c>
      <c r="I250">
        <f>RANK(Sheet1[[#This Row],[Market Cap]],Sheet1[Market Cap],0)</f>
        <v>246</v>
      </c>
      <c r="J250" t="str">
        <f t="shared" si="3"/>
        <v>0-0.5</v>
      </c>
    </row>
    <row r="251" spans="1:10" x14ac:dyDescent="0.3">
      <c r="A251" t="s">
        <v>481</v>
      </c>
      <c r="B251" t="s">
        <v>482</v>
      </c>
      <c r="C251">
        <v>85.33</v>
      </c>
      <c r="D251">
        <v>0</v>
      </c>
      <c r="E251">
        <v>1580000</v>
      </c>
      <c r="G251">
        <v>18530</v>
      </c>
      <c r="H251">
        <f>Sheet1[[#This Row],[Volume (24h)]]/Sheet1[[#This Row],[Circulating Supply]]</f>
        <v>0</v>
      </c>
      <c r="I251">
        <f>RANK(Sheet1[[#This Row],[Market Cap]],Sheet1[Market Cap],0)</f>
        <v>249</v>
      </c>
      <c r="J251" t="str">
        <f t="shared" si="3"/>
        <v>0-0.5</v>
      </c>
    </row>
    <row r="252" spans="1:10" x14ac:dyDescent="0.3">
      <c r="A252" t="s">
        <v>483</v>
      </c>
      <c r="B252" t="s">
        <v>483</v>
      </c>
      <c r="C252">
        <v>1.3100000000000001E-2</v>
      </c>
      <c r="D252">
        <v>0</v>
      </c>
      <c r="E252">
        <v>1580000</v>
      </c>
      <c r="F252">
        <v>23.89</v>
      </c>
      <c r="G252">
        <v>121040000</v>
      </c>
      <c r="H252">
        <f>Sheet1[[#This Row],[Volume (24h)]]/Sheet1[[#This Row],[Circulating Supply]]</f>
        <v>1.9737276933245208E-7</v>
      </c>
      <c r="I252">
        <f>RANK(Sheet1[[#This Row],[Market Cap]],Sheet1[Market Cap],0)</f>
        <v>249</v>
      </c>
      <c r="J252" t="str">
        <f t="shared" si="3"/>
        <v>0-0.5</v>
      </c>
    </row>
    <row r="253" spans="1:10" x14ac:dyDescent="0.3">
      <c r="A253" t="s">
        <v>484</v>
      </c>
      <c r="B253" t="s">
        <v>484</v>
      </c>
      <c r="C253">
        <v>0</v>
      </c>
      <c r="D253">
        <v>0</v>
      </c>
      <c r="E253">
        <v>1570000</v>
      </c>
      <c r="G253">
        <v>62070000000</v>
      </c>
      <c r="H253">
        <f>Sheet1[[#This Row],[Volume (24h)]]/Sheet1[[#This Row],[Circulating Supply]]</f>
        <v>0</v>
      </c>
      <c r="I253">
        <f>RANK(Sheet1[[#This Row],[Market Cap]],Sheet1[Market Cap],0)</f>
        <v>252</v>
      </c>
      <c r="J253" t="str">
        <f t="shared" si="3"/>
        <v>0-0.5</v>
      </c>
    </row>
    <row r="254" spans="1:10" x14ac:dyDescent="0.3">
      <c r="A254" t="s">
        <v>485</v>
      </c>
      <c r="B254" t="s">
        <v>486</v>
      </c>
      <c r="C254">
        <v>76.34</v>
      </c>
      <c r="D254">
        <v>0</v>
      </c>
      <c r="E254">
        <v>1570000</v>
      </c>
      <c r="G254">
        <v>20640</v>
      </c>
      <c r="H254">
        <f>Sheet1[[#This Row],[Volume (24h)]]/Sheet1[[#This Row],[Circulating Supply]]</f>
        <v>0</v>
      </c>
      <c r="I254">
        <f>RANK(Sheet1[[#This Row],[Market Cap]],Sheet1[Market Cap],0)</f>
        <v>252</v>
      </c>
      <c r="J254" t="str">
        <f t="shared" si="3"/>
        <v>0-0.5</v>
      </c>
    </row>
    <row r="255" spans="1:10" x14ac:dyDescent="0.3">
      <c r="A255" t="s">
        <v>487</v>
      </c>
      <c r="B255" t="s">
        <v>488</v>
      </c>
      <c r="C255">
        <v>8.0799999999999997E-2</v>
      </c>
      <c r="D255">
        <v>0.19</v>
      </c>
      <c r="E255">
        <v>1570000</v>
      </c>
      <c r="F255">
        <v>238760</v>
      </c>
      <c r="G255">
        <v>19480000</v>
      </c>
      <c r="H255">
        <f>Sheet1[[#This Row],[Volume (24h)]]/Sheet1[[#This Row],[Circulating Supply]]</f>
        <v>1.2256673511293635E-2</v>
      </c>
      <c r="I255">
        <f>RANK(Sheet1[[#This Row],[Market Cap]],Sheet1[Market Cap],0)</f>
        <v>252</v>
      </c>
      <c r="J255" t="str">
        <f t="shared" si="3"/>
        <v>0-0.5</v>
      </c>
    </row>
    <row r="256" spans="1:10" x14ac:dyDescent="0.3">
      <c r="A256" t="s">
        <v>489</v>
      </c>
      <c r="B256" t="s">
        <v>490</v>
      </c>
      <c r="C256">
        <v>5.9999999999999995E-4</v>
      </c>
      <c r="D256">
        <v>9.1999999999999993</v>
      </c>
      <c r="E256">
        <v>1530000</v>
      </c>
      <c r="F256">
        <v>30220</v>
      </c>
      <c r="G256">
        <v>2510000000</v>
      </c>
      <c r="H256">
        <f>Sheet1[[#This Row],[Volume (24h)]]/Sheet1[[#This Row],[Circulating Supply]]</f>
        <v>1.20398406374502E-5</v>
      </c>
      <c r="I256">
        <f>RANK(Sheet1[[#This Row],[Market Cap]],Sheet1[Market Cap],0)</f>
        <v>255</v>
      </c>
      <c r="J256" t="str">
        <f t="shared" si="3"/>
        <v>0-0.5</v>
      </c>
    </row>
    <row r="257" spans="1:10" x14ac:dyDescent="0.3">
      <c r="A257" t="s">
        <v>491</v>
      </c>
      <c r="B257" t="s">
        <v>492</v>
      </c>
      <c r="C257">
        <v>86.51</v>
      </c>
      <c r="D257">
        <v>0.61</v>
      </c>
      <c r="E257">
        <v>1300000</v>
      </c>
      <c r="F257">
        <v>277200</v>
      </c>
      <c r="G257">
        <v>15050</v>
      </c>
      <c r="H257">
        <f>Sheet1[[#This Row],[Volume (24h)]]/Sheet1[[#This Row],[Circulating Supply]]</f>
        <v>18.418604651162791</v>
      </c>
      <c r="I257">
        <f>RANK(Sheet1[[#This Row],[Market Cap]],Sheet1[Market Cap],0)</f>
        <v>256</v>
      </c>
      <c r="J257" t="str">
        <f t="shared" si="3"/>
        <v>0-0.5</v>
      </c>
    </row>
    <row r="258" spans="1:10" x14ac:dyDescent="0.3">
      <c r="A258" t="s">
        <v>493</v>
      </c>
      <c r="B258" t="s">
        <v>494</v>
      </c>
      <c r="C258">
        <v>2E-3</v>
      </c>
      <c r="D258">
        <v>0.01</v>
      </c>
      <c r="E258">
        <v>1290000</v>
      </c>
      <c r="F258">
        <v>98630</v>
      </c>
      <c r="G258">
        <v>663490000</v>
      </c>
      <c r="H258">
        <f>Sheet1[[#This Row],[Volume (24h)]]/Sheet1[[#This Row],[Circulating Supply]]</f>
        <v>1.4865333313237577E-4</v>
      </c>
      <c r="I258">
        <f>RANK(Sheet1[[#This Row],[Market Cap]],Sheet1[Market Cap],0)</f>
        <v>257</v>
      </c>
      <c r="J258" t="str">
        <f t="shared" ref="J258:J301" si="4">IF(C468&lt;=0.5,"0-0.5",
IF(C468&lt;=1,"0.5-1",
IF(C468&lt;=2,"1-2",
IF(C468&lt;=10,"2-10",
IF(C468&lt;=100,"10-100",
IF(C468&lt;=10000,"100-10000",
"10000+"))))))</f>
        <v>0-0.5</v>
      </c>
    </row>
    <row r="259" spans="1:10" x14ac:dyDescent="0.3">
      <c r="A259" t="s">
        <v>495</v>
      </c>
      <c r="B259" t="s">
        <v>496</v>
      </c>
      <c r="C259">
        <v>9.2999999999999992E-3</v>
      </c>
      <c r="D259">
        <v>0.21</v>
      </c>
      <c r="E259">
        <v>1290000</v>
      </c>
      <c r="F259">
        <v>115470</v>
      </c>
      <c r="G259">
        <v>139770000</v>
      </c>
      <c r="H259">
        <f>Sheet1[[#This Row],[Volume (24h)]]/Sheet1[[#This Row],[Circulating Supply]]</f>
        <v>8.2614294913071476E-4</v>
      </c>
      <c r="I259">
        <f>RANK(Sheet1[[#This Row],[Market Cap]],Sheet1[Market Cap],0)</f>
        <v>257</v>
      </c>
      <c r="J259" t="str">
        <f t="shared" si="4"/>
        <v>0-0.5</v>
      </c>
    </row>
    <row r="260" spans="1:10" x14ac:dyDescent="0.3">
      <c r="A260" t="s">
        <v>497</v>
      </c>
      <c r="B260" t="s">
        <v>498</v>
      </c>
      <c r="C260">
        <v>575.01</v>
      </c>
      <c r="D260">
        <v>0.05</v>
      </c>
      <c r="E260">
        <v>1290000</v>
      </c>
      <c r="F260">
        <v>1320000</v>
      </c>
      <c r="G260">
        <v>2250</v>
      </c>
      <c r="H260">
        <f>Sheet1[[#This Row],[Volume (24h)]]/Sheet1[[#This Row],[Circulating Supply]]</f>
        <v>586.66666666666663</v>
      </c>
      <c r="I260">
        <f>RANK(Sheet1[[#This Row],[Market Cap]],Sheet1[Market Cap],0)</f>
        <v>257</v>
      </c>
      <c r="J260" t="str">
        <f t="shared" si="4"/>
        <v>0-0.5</v>
      </c>
    </row>
    <row r="261" spans="1:10" x14ac:dyDescent="0.3">
      <c r="A261" t="s">
        <v>499</v>
      </c>
      <c r="B261" t="s">
        <v>500</v>
      </c>
      <c r="C261">
        <v>2.3699999999999999E-2</v>
      </c>
      <c r="D261">
        <v>0.02</v>
      </c>
      <c r="E261">
        <v>1280000</v>
      </c>
      <c r="G261">
        <v>54380000</v>
      </c>
      <c r="H261">
        <f>Sheet1[[#This Row],[Volume (24h)]]/Sheet1[[#This Row],[Circulating Supply]]</f>
        <v>0</v>
      </c>
      <c r="I261">
        <f>RANK(Sheet1[[#This Row],[Market Cap]],Sheet1[Market Cap],0)</f>
        <v>260</v>
      </c>
      <c r="J261" t="str">
        <f t="shared" si="4"/>
        <v>0-0.5</v>
      </c>
    </row>
    <row r="262" spans="1:10" x14ac:dyDescent="0.3">
      <c r="A262" t="s">
        <v>501</v>
      </c>
      <c r="B262" t="s">
        <v>494</v>
      </c>
      <c r="C262">
        <v>4.7999999999999996E-3</v>
      </c>
      <c r="D262">
        <v>0</v>
      </c>
      <c r="E262">
        <v>1280000</v>
      </c>
      <c r="G262">
        <v>267950000</v>
      </c>
      <c r="H262">
        <f>Sheet1[[#This Row],[Volume (24h)]]/Sheet1[[#This Row],[Circulating Supply]]</f>
        <v>0</v>
      </c>
      <c r="I262">
        <f>RANK(Sheet1[[#This Row],[Market Cap]],Sheet1[Market Cap],0)</f>
        <v>260</v>
      </c>
      <c r="J262" t="str">
        <f t="shared" si="4"/>
        <v>0-0.5</v>
      </c>
    </row>
    <row r="263" spans="1:10" x14ac:dyDescent="0.3">
      <c r="A263" t="s">
        <v>502</v>
      </c>
      <c r="B263" t="s">
        <v>503</v>
      </c>
      <c r="C263">
        <v>9.7100000000000006E-2</v>
      </c>
      <c r="D263">
        <v>0.19</v>
      </c>
      <c r="E263">
        <v>1270000</v>
      </c>
      <c r="F263">
        <v>92100</v>
      </c>
      <c r="G263">
        <v>13170000</v>
      </c>
      <c r="H263">
        <f>Sheet1[[#This Row],[Volume (24h)]]/Sheet1[[#This Row],[Circulating Supply]]</f>
        <v>6.9931662870159452E-3</v>
      </c>
      <c r="I263">
        <f>RANK(Sheet1[[#This Row],[Market Cap]],Sheet1[Market Cap],0)</f>
        <v>262</v>
      </c>
      <c r="J263" t="str">
        <f t="shared" si="4"/>
        <v>0-0.5</v>
      </c>
    </row>
    <row r="264" spans="1:10" x14ac:dyDescent="0.3">
      <c r="A264" t="s">
        <v>504</v>
      </c>
      <c r="B264" t="s">
        <v>505</v>
      </c>
      <c r="C264">
        <v>1.2999999999999999E-3</v>
      </c>
      <c r="D264">
        <v>5.66</v>
      </c>
      <c r="E264">
        <v>1270000</v>
      </c>
      <c r="F264">
        <v>56030</v>
      </c>
      <c r="G264">
        <v>978220000</v>
      </c>
      <c r="H264">
        <f>Sheet1[[#This Row],[Volume (24h)]]/Sheet1[[#This Row],[Circulating Supply]]</f>
        <v>5.7277504037946472E-5</v>
      </c>
      <c r="I264">
        <f>RANK(Sheet1[[#This Row],[Market Cap]],Sheet1[Market Cap],0)</f>
        <v>262</v>
      </c>
      <c r="J264" t="str">
        <f t="shared" si="4"/>
        <v>0-0.5</v>
      </c>
    </row>
    <row r="265" spans="1:10" x14ac:dyDescent="0.3">
      <c r="A265" t="s">
        <v>506</v>
      </c>
      <c r="B265" t="s">
        <v>507</v>
      </c>
      <c r="C265">
        <v>1.9400000000000001E-2</v>
      </c>
      <c r="D265">
        <v>0.55000000000000004</v>
      </c>
      <c r="E265">
        <v>1270000</v>
      </c>
      <c r="F265">
        <v>49670</v>
      </c>
      <c r="G265">
        <v>66000000</v>
      </c>
      <c r="H265">
        <f>Sheet1[[#This Row],[Volume (24h)]]/Sheet1[[#This Row],[Circulating Supply]]</f>
        <v>7.5257575757575756E-4</v>
      </c>
      <c r="I265">
        <f>RANK(Sheet1[[#This Row],[Market Cap]],Sheet1[Market Cap],0)</f>
        <v>262</v>
      </c>
      <c r="J265" t="str">
        <f t="shared" si="4"/>
        <v>0-0.5</v>
      </c>
    </row>
    <row r="266" spans="1:10" x14ac:dyDescent="0.3">
      <c r="A266" t="s">
        <v>508</v>
      </c>
      <c r="B266" t="s">
        <v>509</v>
      </c>
      <c r="C266">
        <v>1.2999999999999999E-3</v>
      </c>
      <c r="D266">
        <v>1.1499999999999999</v>
      </c>
      <c r="E266">
        <v>1270000</v>
      </c>
      <c r="F266">
        <v>305210</v>
      </c>
      <c r="G266">
        <v>999820000</v>
      </c>
      <c r="H266">
        <f>Sheet1[[#This Row],[Volume (24h)]]/Sheet1[[#This Row],[Circulating Supply]]</f>
        <v>3.0526494769058429E-4</v>
      </c>
      <c r="I266">
        <f>RANK(Sheet1[[#This Row],[Market Cap]],Sheet1[Market Cap],0)</f>
        <v>262</v>
      </c>
      <c r="J266" t="str">
        <f t="shared" si="4"/>
        <v>0-0.5</v>
      </c>
    </row>
    <row r="267" spans="1:10" x14ac:dyDescent="0.3">
      <c r="A267" t="s">
        <v>510</v>
      </c>
      <c r="B267" t="s">
        <v>511</v>
      </c>
      <c r="C267">
        <v>2.5000000000000001E-3</v>
      </c>
      <c r="D267">
        <v>0.15</v>
      </c>
      <c r="E267">
        <v>1270000</v>
      </c>
      <c r="F267">
        <v>87390</v>
      </c>
      <c r="G267">
        <v>503180000</v>
      </c>
      <c r="H267">
        <f>Sheet1[[#This Row],[Volume (24h)]]/Sheet1[[#This Row],[Circulating Supply]]</f>
        <v>1.7367542430144284E-4</v>
      </c>
      <c r="I267">
        <f>RANK(Sheet1[[#This Row],[Market Cap]],Sheet1[Market Cap],0)</f>
        <v>262</v>
      </c>
      <c r="J267" t="str">
        <f t="shared" si="4"/>
        <v>0-0.5</v>
      </c>
    </row>
    <row r="268" spans="1:10" x14ac:dyDescent="0.3">
      <c r="A268" t="s">
        <v>512</v>
      </c>
      <c r="B268" t="s">
        <v>512</v>
      </c>
      <c r="C268">
        <v>3.5499999999999997E-2</v>
      </c>
      <c r="D268">
        <v>0.01</v>
      </c>
      <c r="E268">
        <v>1270000</v>
      </c>
      <c r="G268">
        <v>35890000</v>
      </c>
      <c r="H268">
        <f>Sheet1[[#This Row],[Volume (24h)]]/Sheet1[[#This Row],[Circulating Supply]]</f>
        <v>0</v>
      </c>
      <c r="I268">
        <f>RANK(Sheet1[[#This Row],[Market Cap]],Sheet1[Market Cap],0)</f>
        <v>262</v>
      </c>
      <c r="J268" t="str">
        <f t="shared" si="4"/>
        <v>0-0.5</v>
      </c>
    </row>
    <row r="269" spans="1:10" x14ac:dyDescent="0.3">
      <c r="A269" t="s">
        <v>513</v>
      </c>
      <c r="B269" t="s">
        <v>514</v>
      </c>
      <c r="C269">
        <v>1.61E-2</v>
      </c>
      <c r="D269">
        <v>0.01</v>
      </c>
      <c r="E269">
        <v>1270000</v>
      </c>
      <c r="F269">
        <v>385.44</v>
      </c>
      <c r="H269" t="e">
        <f>Sheet1[[#This Row],[Volume (24h)]]/Sheet1[[#This Row],[Circulating Supply]]</f>
        <v>#DIV/0!</v>
      </c>
      <c r="I269">
        <f>RANK(Sheet1[[#This Row],[Market Cap]],Sheet1[Market Cap],0)</f>
        <v>262</v>
      </c>
      <c r="J269" t="str">
        <f t="shared" si="4"/>
        <v>0-0.5</v>
      </c>
    </row>
    <row r="270" spans="1:10" x14ac:dyDescent="0.3">
      <c r="A270" t="s">
        <v>515</v>
      </c>
      <c r="B270" t="s">
        <v>516</v>
      </c>
      <c r="C270">
        <v>3.3E-3</v>
      </c>
      <c r="D270">
        <v>0.38</v>
      </c>
      <c r="E270">
        <v>1260000</v>
      </c>
      <c r="F270">
        <v>54550</v>
      </c>
      <c r="G270">
        <v>382950000</v>
      </c>
      <c r="H270">
        <f>Sheet1[[#This Row],[Volume (24h)]]/Sheet1[[#This Row],[Circulating Supply]]</f>
        <v>1.4244679462070765E-4</v>
      </c>
      <c r="I270">
        <f>RANK(Sheet1[[#This Row],[Market Cap]],Sheet1[Market Cap],0)</f>
        <v>269</v>
      </c>
      <c r="J270" t="str">
        <f t="shared" si="4"/>
        <v>0-0.5</v>
      </c>
    </row>
    <row r="271" spans="1:10" x14ac:dyDescent="0.3">
      <c r="A271" t="s">
        <v>517</v>
      </c>
      <c r="B271" t="s">
        <v>518</v>
      </c>
      <c r="C271">
        <v>2.9999999999999997E-4</v>
      </c>
      <c r="D271">
        <v>0.63</v>
      </c>
      <c r="E271">
        <v>1260000</v>
      </c>
      <c r="F271">
        <v>23570</v>
      </c>
      <c r="G271">
        <v>4680000000</v>
      </c>
      <c r="H271">
        <f>Sheet1[[#This Row],[Volume (24h)]]/Sheet1[[#This Row],[Circulating Supply]]</f>
        <v>5.0363247863247866E-6</v>
      </c>
      <c r="I271">
        <f>RANK(Sheet1[[#This Row],[Market Cap]],Sheet1[Market Cap],0)</f>
        <v>269</v>
      </c>
      <c r="J271" t="str">
        <f t="shared" si="4"/>
        <v>0-0.5</v>
      </c>
    </row>
    <row r="272" spans="1:10" x14ac:dyDescent="0.3">
      <c r="A272" t="s">
        <v>519</v>
      </c>
      <c r="B272" t="s">
        <v>520</v>
      </c>
      <c r="C272">
        <v>5.2699999999999997E-2</v>
      </c>
      <c r="D272">
        <v>0.12</v>
      </c>
      <c r="E272">
        <v>1060000</v>
      </c>
      <c r="F272">
        <v>150.33000000000001</v>
      </c>
      <c r="G272">
        <v>393400000000</v>
      </c>
      <c r="H272">
        <f>Sheet1[[#This Row],[Volume (24h)]]/Sheet1[[#This Row],[Circulating Supply]]</f>
        <v>3.8213014743263859E-10</v>
      </c>
      <c r="I272">
        <f>RANK(Sheet1[[#This Row],[Market Cap]],Sheet1[Market Cap],0)</f>
        <v>271</v>
      </c>
      <c r="J272" t="str">
        <f t="shared" si="4"/>
        <v>0-0.5</v>
      </c>
    </row>
    <row r="273" spans="1:10" x14ac:dyDescent="0.3">
      <c r="A273" t="s">
        <v>521</v>
      </c>
      <c r="B273" t="s">
        <v>521</v>
      </c>
      <c r="C273">
        <v>8.2500000000000004E-2</v>
      </c>
      <c r="D273">
        <v>0.48</v>
      </c>
      <c r="E273">
        <v>1060000</v>
      </c>
      <c r="F273">
        <v>23390</v>
      </c>
      <c r="G273">
        <v>420690000000000</v>
      </c>
      <c r="H273">
        <f>Sheet1[[#This Row],[Volume (24h)]]/Sheet1[[#This Row],[Circulating Supply]]</f>
        <v>5.559913475480758E-11</v>
      </c>
      <c r="I273">
        <f>RANK(Sheet1[[#This Row],[Market Cap]],Sheet1[Market Cap],0)</f>
        <v>271</v>
      </c>
      <c r="J273" t="str">
        <f t="shared" si="4"/>
        <v>0-0.5</v>
      </c>
    </row>
    <row r="274" spans="1:10" x14ac:dyDescent="0.3">
      <c r="A274" t="s">
        <v>522</v>
      </c>
      <c r="B274" t="s">
        <v>523</v>
      </c>
      <c r="C274">
        <v>8.0399999999999999E-2</v>
      </c>
      <c r="D274">
        <v>0</v>
      </c>
      <c r="E274">
        <v>1050000</v>
      </c>
      <c r="F274">
        <v>267140</v>
      </c>
      <c r="G274">
        <v>13180000</v>
      </c>
      <c r="H274">
        <f>Sheet1[[#This Row],[Volume (24h)]]/Sheet1[[#This Row],[Circulating Supply]]</f>
        <v>2.0268588770864945E-2</v>
      </c>
      <c r="I274">
        <f>RANK(Sheet1[[#This Row],[Market Cap]],Sheet1[Market Cap],0)</f>
        <v>273</v>
      </c>
      <c r="J274" t="str">
        <f t="shared" si="4"/>
        <v>0-0.5</v>
      </c>
    </row>
    <row r="275" spans="1:10" x14ac:dyDescent="0.3">
      <c r="A275" t="s">
        <v>524</v>
      </c>
      <c r="B275" t="s">
        <v>525</v>
      </c>
      <c r="C275">
        <v>2.9999999999999997E-4</v>
      </c>
      <c r="D275">
        <v>0.39</v>
      </c>
      <c r="E275">
        <v>1050000</v>
      </c>
      <c r="F275">
        <v>798580</v>
      </c>
      <c r="G275">
        <v>3720000000</v>
      </c>
      <c r="H275">
        <f>Sheet1[[#This Row],[Volume (24h)]]/Sheet1[[#This Row],[Circulating Supply]]</f>
        <v>2.1467204301075268E-4</v>
      </c>
      <c r="I275">
        <f>RANK(Sheet1[[#This Row],[Market Cap]],Sheet1[Market Cap],0)</f>
        <v>273</v>
      </c>
      <c r="J275" t="str">
        <f t="shared" si="4"/>
        <v>0-0.5</v>
      </c>
    </row>
    <row r="276" spans="1:10" x14ac:dyDescent="0.3">
      <c r="A276" t="s">
        <v>526</v>
      </c>
      <c r="B276" t="s">
        <v>527</v>
      </c>
      <c r="C276">
        <v>8.1100000000000005E-2</v>
      </c>
      <c r="D276">
        <v>3.39</v>
      </c>
      <c r="E276">
        <v>1050000</v>
      </c>
      <c r="F276">
        <v>36950</v>
      </c>
      <c r="G276">
        <v>975810000000000</v>
      </c>
      <c r="H276">
        <f>Sheet1[[#This Row],[Volume (24h)]]/Sheet1[[#This Row],[Circulating Supply]]</f>
        <v>3.7865978008013854E-11</v>
      </c>
      <c r="I276">
        <f>RANK(Sheet1[[#This Row],[Market Cap]],Sheet1[Market Cap],0)</f>
        <v>273</v>
      </c>
      <c r="J276" t="str">
        <f t="shared" si="4"/>
        <v>0-0.5</v>
      </c>
    </row>
    <row r="277" spans="1:10" x14ac:dyDescent="0.3">
      <c r="A277" t="s">
        <v>528</v>
      </c>
      <c r="B277" t="s">
        <v>529</v>
      </c>
      <c r="C277">
        <v>0</v>
      </c>
      <c r="D277">
        <v>0.7</v>
      </c>
      <c r="E277">
        <v>1050000</v>
      </c>
      <c r="F277">
        <v>25090</v>
      </c>
      <c r="G277">
        <v>84560000000</v>
      </c>
      <c r="H277">
        <f>Sheet1[[#This Row],[Volume (24h)]]/Sheet1[[#This Row],[Circulating Supply]]</f>
        <v>2.9671239356669819E-7</v>
      </c>
      <c r="I277">
        <f>RANK(Sheet1[[#This Row],[Market Cap]],Sheet1[Market Cap],0)</f>
        <v>273</v>
      </c>
      <c r="J277" t="str">
        <f t="shared" si="4"/>
        <v>0-0.5</v>
      </c>
    </row>
    <row r="278" spans="1:10" x14ac:dyDescent="0.3">
      <c r="A278" t="s">
        <v>530</v>
      </c>
      <c r="B278" t="s">
        <v>531</v>
      </c>
      <c r="C278">
        <v>1.1000000000000001E-3</v>
      </c>
      <c r="D278">
        <v>0.2</v>
      </c>
      <c r="E278">
        <v>1050000</v>
      </c>
      <c r="F278">
        <v>232440</v>
      </c>
      <c r="G278">
        <v>940890000</v>
      </c>
      <c r="H278">
        <f>Sheet1[[#This Row],[Volume (24h)]]/Sheet1[[#This Row],[Circulating Supply]]</f>
        <v>2.4704269361987052E-4</v>
      </c>
      <c r="I278">
        <f>RANK(Sheet1[[#This Row],[Market Cap]],Sheet1[Market Cap],0)</f>
        <v>273</v>
      </c>
      <c r="J278" t="str">
        <f t="shared" si="4"/>
        <v>0-0.5</v>
      </c>
    </row>
    <row r="279" spans="1:10" x14ac:dyDescent="0.3">
      <c r="A279" t="s">
        <v>532</v>
      </c>
      <c r="B279" t="s">
        <v>533</v>
      </c>
      <c r="C279">
        <v>22.49</v>
      </c>
      <c r="D279">
        <v>16.46</v>
      </c>
      <c r="E279">
        <v>1040000</v>
      </c>
      <c r="F279">
        <v>2020</v>
      </c>
      <c r="G279">
        <v>46640</v>
      </c>
      <c r="H279">
        <f>Sheet1[[#This Row],[Volume (24h)]]/Sheet1[[#This Row],[Circulating Supply]]</f>
        <v>4.3310463121783875E-2</v>
      </c>
      <c r="I279">
        <f>RANK(Sheet1[[#This Row],[Market Cap]],Sheet1[Market Cap],0)</f>
        <v>278</v>
      </c>
      <c r="J279" t="str">
        <f t="shared" si="4"/>
        <v>0-0.5</v>
      </c>
    </row>
    <row r="280" spans="1:10" x14ac:dyDescent="0.3">
      <c r="A280" t="s">
        <v>534</v>
      </c>
      <c r="B280" t="s">
        <v>535</v>
      </c>
      <c r="C280">
        <v>1E-4</v>
      </c>
      <c r="D280">
        <v>1.42</v>
      </c>
      <c r="E280">
        <v>1040000</v>
      </c>
      <c r="F280">
        <v>52780</v>
      </c>
      <c r="G280">
        <v>15900000000</v>
      </c>
      <c r="H280">
        <f>Sheet1[[#This Row],[Volume (24h)]]/Sheet1[[#This Row],[Circulating Supply]]</f>
        <v>3.319496855345912E-6</v>
      </c>
      <c r="I280">
        <f>RANK(Sheet1[[#This Row],[Market Cap]],Sheet1[Market Cap],0)</f>
        <v>278</v>
      </c>
      <c r="J280" t="str">
        <f t="shared" si="4"/>
        <v>0-0.5</v>
      </c>
    </row>
    <row r="281" spans="1:10" x14ac:dyDescent="0.3">
      <c r="A281" t="s">
        <v>536</v>
      </c>
      <c r="B281" t="s">
        <v>537</v>
      </c>
      <c r="C281">
        <v>1E-4</v>
      </c>
      <c r="D281">
        <v>0</v>
      </c>
      <c r="E281">
        <v>1040000</v>
      </c>
      <c r="G281">
        <v>10000000000</v>
      </c>
      <c r="H281">
        <f>Sheet1[[#This Row],[Volume (24h)]]/Sheet1[[#This Row],[Circulating Supply]]</f>
        <v>0</v>
      </c>
      <c r="I281">
        <f>RANK(Sheet1[[#This Row],[Market Cap]],Sheet1[Market Cap],0)</f>
        <v>278</v>
      </c>
      <c r="J281" t="str">
        <f t="shared" si="4"/>
        <v>0-0.5</v>
      </c>
    </row>
    <row r="282" spans="1:10" x14ac:dyDescent="0.3">
      <c r="A282" t="s">
        <v>538</v>
      </c>
      <c r="B282" t="s">
        <v>539</v>
      </c>
      <c r="C282">
        <v>206.65</v>
      </c>
      <c r="D282">
        <v>0.74</v>
      </c>
      <c r="E282">
        <v>1040000</v>
      </c>
      <c r="F282">
        <v>1950000</v>
      </c>
      <c r="G282">
        <v>5060</v>
      </c>
      <c r="H282">
        <f>Sheet1[[#This Row],[Volume (24h)]]/Sheet1[[#This Row],[Circulating Supply]]</f>
        <v>385.37549407114625</v>
      </c>
      <c r="I282">
        <f>RANK(Sheet1[[#This Row],[Market Cap]],Sheet1[Market Cap],0)</f>
        <v>278</v>
      </c>
      <c r="J282" t="str">
        <f t="shared" si="4"/>
        <v>0-0.5</v>
      </c>
    </row>
    <row r="283" spans="1:10" x14ac:dyDescent="0.3">
      <c r="A283" t="s">
        <v>540</v>
      </c>
      <c r="B283" t="s">
        <v>541</v>
      </c>
      <c r="C283">
        <v>5.2499999999999998E-2</v>
      </c>
      <c r="D283">
        <v>0.46</v>
      </c>
      <c r="E283">
        <v>1040000</v>
      </c>
      <c r="F283">
        <v>41040</v>
      </c>
      <c r="G283">
        <v>420690000000</v>
      </c>
      <c r="H283">
        <f>Sheet1[[#This Row],[Volume (24h)]]/Sheet1[[#This Row],[Circulating Supply]]</f>
        <v>9.755401839834558E-8</v>
      </c>
      <c r="I283">
        <f>RANK(Sheet1[[#This Row],[Market Cap]],Sheet1[Market Cap],0)</f>
        <v>278</v>
      </c>
      <c r="J283" t="str">
        <f t="shared" si="4"/>
        <v>0-0.5</v>
      </c>
    </row>
    <row r="284" spans="1:10" x14ac:dyDescent="0.3">
      <c r="A284" t="s">
        <v>542</v>
      </c>
      <c r="B284" t="s">
        <v>543</v>
      </c>
      <c r="C284">
        <v>1E-3</v>
      </c>
      <c r="D284">
        <v>0.69</v>
      </c>
      <c r="E284">
        <v>1040000</v>
      </c>
      <c r="F284">
        <v>773890</v>
      </c>
      <c r="G284">
        <v>999910000</v>
      </c>
      <c r="H284">
        <f>Sheet1[[#This Row],[Volume (24h)]]/Sheet1[[#This Row],[Circulating Supply]]</f>
        <v>7.739596563690732E-4</v>
      </c>
      <c r="I284">
        <f>RANK(Sheet1[[#This Row],[Market Cap]],Sheet1[Market Cap],0)</f>
        <v>278</v>
      </c>
      <c r="J284" t="str">
        <f t="shared" si="4"/>
        <v>0-0.5</v>
      </c>
    </row>
    <row r="285" spans="1:10" x14ac:dyDescent="0.3">
      <c r="A285" t="s">
        <v>544</v>
      </c>
      <c r="B285" t="s">
        <v>545</v>
      </c>
      <c r="C285">
        <v>2.0999999999999999E-3</v>
      </c>
      <c r="D285">
        <v>0.95</v>
      </c>
      <c r="E285">
        <v>1040000</v>
      </c>
      <c r="F285">
        <v>118180</v>
      </c>
      <c r="G285">
        <v>504080000</v>
      </c>
      <c r="H285">
        <f>Sheet1[[#This Row],[Volume (24h)]]/Sheet1[[#This Row],[Circulating Supply]]</f>
        <v>2.3444691318838279E-4</v>
      </c>
      <c r="I285">
        <f>RANK(Sheet1[[#This Row],[Market Cap]],Sheet1[Market Cap],0)</f>
        <v>278</v>
      </c>
      <c r="J285" t="str">
        <f t="shared" si="4"/>
        <v>0-0.5</v>
      </c>
    </row>
    <row r="286" spans="1:10" x14ac:dyDescent="0.3">
      <c r="A286" t="s">
        <v>546</v>
      </c>
      <c r="B286" t="s">
        <v>547</v>
      </c>
      <c r="C286">
        <v>6.9699999999999998E-2</v>
      </c>
      <c r="D286">
        <v>0.01</v>
      </c>
      <c r="E286">
        <v>1040000</v>
      </c>
      <c r="F286">
        <v>95060</v>
      </c>
      <c r="G286">
        <v>14950000</v>
      </c>
      <c r="H286">
        <f>Sheet1[[#This Row],[Volume (24h)]]/Sheet1[[#This Row],[Circulating Supply]]</f>
        <v>6.3585284280936452E-3</v>
      </c>
      <c r="I286">
        <f>RANK(Sheet1[[#This Row],[Market Cap]],Sheet1[Market Cap],0)</f>
        <v>278</v>
      </c>
      <c r="J286" t="str">
        <f t="shared" si="4"/>
        <v>0-0.5</v>
      </c>
    </row>
    <row r="287" spans="1:10" x14ac:dyDescent="0.3">
      <c r="A287" t="s">
        <v>548</v>
      </c>
      <c r="B287" t="s">
        <v>549</v>
      </c>
      <c r="C287">
        <v>4.0000000000000001E-3</v>
      </c>
      <c r="D287">
        <v>0</v>
      </c>
      <c r="E287">
        <v>882520</v>
      </c>
      <c r="G287">
        <v>220000000</v>
      </c>
      <c r="H287">
        <f>Sheet1[[#This Row],[Volume (24h)]]/Sheet1[[#This Row],[Circulating Supply]]</f>
        <v>0</v>
      </c>
      <c r="I287">
        <f>RANK(Sheet1[[#This Row],[Market Cap]],Sheet1[Market Cap],0)</f>
        <v>286</v>
      </c>
      <c r="J287" t="str">
        <f t="shared" si="4"/>
        <v>0-0.5</v>
      </c>
    </row>
    <row r="288" spans="1:10" x14ac:dyDescent="0.3">
      <c r="A288" t="s">
        <v>550</v>
      </c>
      <c r="B288" t="s">
        <v>551</v>
      </c>
      <c r="C288">
        <v>2.0000000000000001E-4</v>
      </c>
      <c r="D288">
        <v>0</v>
      </c>
      <c r="E288">
        <v>880500</v>
      </c>
      <c r="G288">
        <v>4370000000</v>
      </c>
      <c r="H288">
        <f>Sheet1[[#This Row],[Volume (24h)]]/Sheet1[[#This Row],[Circulating Supply]]</f>
        <v>0</v>
      </c>
      <c r="I288">
        <f>RANK(Sheet1[[#This Row],[Market Cap]],Sheet1[Market Cap],0)</f>
        <v>288</v>
      </c>
      <c r="J288" t="str">
        <f t="shared" si="4"/>
        <v>0-0.5</v>
      </c>
    </row>
    <row r="289" spans="1:10" x14ac:dyDescent="0.3">
      <c r="A289" t="s">
        <v>552</v>
      </c>
      <c r="B289" t="s">
        <v>553</v>
      </c>
      <c r="C289">
        <v>2.0000000000000001E-4</v>
      </c>
      <c r="D289">
        <v>0.01</v>
      </c>
      <c r="E289">
        <v>880190</v>
      </c>
      <c r="F289">
        <v>11550</v>
      </c>
      <c r="G289">
        <v>5420000000</v>
      </c>
      <c r="H289">
        <f>Sheet1[[#This Row],[Volume (24h)]]/Sheet1[[#This Row],[Circulating Supply]]</f>
        <v>2.1309963099630998E-6</v>
      </c>
      <c r="I289">
        <f>RANK(Sheet1[[#This Row],[Market Cap]],Sheet1[Market Cap],0)</f>
        <v>289</v>
      </c>
      <c r="J289" t="str">
        <f t="shared" si="4"/>
        <v>0-0.5</v>
      </c>
    </row>
    <row r="290" spans="1:10" x14ac:dyDescent="0.3">
      <c r="A290" t="s">
        <v>554</v>
      </c>
      <c r="B290" t="s">
        <v>555</v>
      </c>
      <c r="C290">
        <v>64.62</v>
      </c>
      <c r="D290">
        <v>0.56000000000000005</v>
      </c>
      <c r="E290">
        <v>881280</v>
      </c>
      <c r="F290">
        <v>1080000</v>
      </c>
      <c r="G290">
        <v>13630</v>
      </c>
      <c r="H290">
        <f>Sheet1[[#This Row],[Volume (24h)]]/Sheet1[[#This Row],[Circulating Supply]]</f>
        <v>79.236977256052825</v>
      </c>
      <c r="I290">
        <f>RANK(Sheet1[[#This Row],[Market Cap]],Sheet1[Market Cap],0)</f>
        <v>287</v>
      </c>
      <c r="J290" t="str">
        <f t="shared" si="4"/>
        <v>0-0.5</v>
      </c>
    </row>
    <row r="291" spans="1:10" x14ac:dyDescent="0.3">
      <c r="A291" t="s">
        <v>556</v>
      </c>
      <c r="B291" t="s">
        <v>557</v>
      </c>
      <c r="C291">
        <v>1.83E-2</v>
      </c>
      <c r="D291">
        <v>0.01</v>
      </c>
      <c r="E291">
        <v>878560</v>
      </c>
      <c r="F291">
        <v>3260</v>
      </c>
      <c r="G291">
        <v>48090000</v>
      </c>
      <c r="H291">
        <f>Sheet1[[#This Row],[Volume (24h)]]/Sheet1[[#This Row],[Circulating Supply]]</f>
        <v>6.7789561239342894E-5</v>
      </c>
      <c r="I291">
        <f>RANK(Sheet1[[#This Row],[Market Cap]],Sheet1[Market Cap],0)</f>
        <v>290</v>
      </c>
      <c r="J291" t="str">
        <f t="shared" si="4"/>
        <v>0-0.5</v>
      </c>
    </row>
    <row r="292" spans="1:10" x14ac:dyDescent="0.3">
      <c r="A292" t="s">
        <v>558</v>
      </c>
      <c r="B292" t="s">
        <v>559</v>
      </c>
      <c r="C292">
        <v>3.8800000000000001E-2</v>
      </c>
      <c r="D292">
        <v>0.46</v>
      </c>
      <c r="E292">
        <v>874010</v>
      </c>
      <c r="F292">
        <v>2180000</v>
      </c>
      <c r="G292">
        <v>22500000</v>
      </c>
      <c r="H292">
        <f>Sheet1[[#This Row],[Volume (24h)]]/Sheet1[[#This Row],[Circulating Supply]]</f>
        <v>9.6888888888888886E-2</v>
      </c>
      <c r="I292">
        <f>RANK(Sheet1[[#This Row],[Market Cap]],Sheet1[Market Cap],0)</f>
        <v>291</v>
      </c>
      <c r="J292" t="str">
        <f t="shared" si="4"/>
        <v>0-0.5</v>
      </c>
    </row>
    <row r="293" spans="1:10" x14ac:dyDescent="0.3">
      <c r="A293" t="s">
        <v>560</v>
      </c>
      <c r="B293" t="s">
        <v>561</v>
      </c>
      <c r="C293">
        <v>6.1000000000000004E-3</v>
      </c>
      <c r="D293">
        <v>0.5</v>
      </c>
      <c r="E293">
        <v>873610</v>
      </c>
      <c r="G293">
        <v>144290000</v>
      </c>
      <c r="H293">
        <f>Sheet1[[#This Row],[Volume (24h)]]/Sheet1[[#This Row],[Circulating Supply]]</f>
        <v>0</v>
      </c>
      <c r="I293">
        <f>RANK(Sheet1[[#This Row],[Market Cap]],Sheet1[Market Cap],0)</f>
        <v>292</v>
      </c>
      <c r="J293" t="str">
        <f t="shared" si="4"/>
        <v>0-0.5</v>
      </c>
    </row>
    <row r="294" spans="1:10" x14ac:dyDescent="0.3">
      <c r="A294" t="s">
        <v>562</v>
      </c>
      <c r="B294" t="s">
        <v>563</v>
      </c>
      <c r="C294">
        <v>270.94</v>
      </c>
      <c r="D294">
        <v>0.05</v>
      </c>
      <c r="E294">
        <v>873320</v>
      </c>
      <c r="F294">
        <v>1270000</v>
      </c>
      <c r="G294">
        <v>3220</v>
      </c>
      <c r="H294">
        <f>Sheet1[[#This Row],[Volume (24h)]]/Sheet1[[#This Row],[Circulating Supply]]</f>
        <v>394.40993788819878</v>
      </c>
      <c r="I294">
        <f>RANK(Sheet1[[#This Row],[Market Cap]],Sheet1[Market Cap],0)</f>
        <v>293</v>
      </c>
      <c r="J294" t="str">
        <f t="shared" si="4"/>
        <v>0-0.5</v>
      </c>
    </row>
    <row r="295" spans="1:10" x14ac:dyDescent="0.3">
      <c r="A295" t="s">
        <v>564</v>
      </c>
      <c r="B295" t="s">
        <v>564</v>
      </c>
      <c r="C295">
        <v>1E-4</v>
      </c>
      <c r="D295">
        <v>0</v>
      </c>
      <c r="E295">
        <v>870690</v>
      </c>
      <c r="G295">
        <v>8950000000</v>
      </c>
      <c r="H295">
        <f>Sheet1[[#This Row],[Volume (24h)]]/Sheet1[[#This Row],[Circulating Supply]]</f>
        <v>0</v>
      </c>
      <c r="I295">
        <f>RANK(Sheet1[[#This Row],[Market Cap]],Sheet1[Market Cap],0)</f>
        <v>294</v>
      </c>
      <c r="J295" t="str">
        <f t="shared" si="4"/>
        <v>0-0.5</v>
      </c>
    </row>
    <row r="296" spans="1:10" x14ac:dyDescent="0.3">
      <c r="A296" t="s">
        <v>565</v>
      </c>
      <c r="B296" t="s">
        <v>566</v>
      </c>
      <c r="C296">
        <v>4.4299999999999999E-2</v>
      </c>
      <c r="D296">
        <v>0.13</v>
      </c>
      <c r="E296">
        <v>870390</v>
      </c>
      <c r="F296">
        <v>23600</v>
      </c>
      <c r="G296">
        <v>19630000</v>
      </c>
      <c r="H296">
        <f>Sheet1[[#This Row],[Volume (24h)]]/Sheet1[[#This Row],[Circulating Supply]]</f>
        <v>1.2022414671421294E-3</v>
      </c>
      <c r="I296">
        <f>RANK(Sheet1[[#This Row],[Market Cap]],Sheet1[Market Cap],0)</f>
        <v>295</v>
      </c>
      <c r="J296" t="str">
        <f t="shared" si="4"/>
        <v>0-0.5</v>
      </c>
    </row>
    <row r="297" spans="1:10" x14ac:dyDescent="0.3">
      <c r="A297" t="s">
        <v>567</v>
      </c>
      <c r="B297" t="s">
        <v>568</v>
      </c>
      <c r="C297">
        <v>20.239999999999998</v>
      </c>
      <c r="D297">
        <v>0.28000000000000003</v>
      </c>
      <c r="E297">
        <v>865490</v>
      </c>
      <c r="F297">
        <v>2150000</v>
      </c>
      <c r="G297">
        <v>42740</v>
      </c>
      <c r="H297">
        <f>Sheet1[[#This Row],[Volume (24h)]]/Sheet1[[#This Row],[Circulating Supply]]</f>
        <v>50.304164716892842</v>
      </c>
      <c r="I297">
        <f>RANK(Sheet1[[#This Row],[Market Cap]],Sheet1[Market Cap],0)</f>
        <v>296</v>
      </c>
      <c r="J297" t="str">
        <f t="shared" si="4"/>
        <v>0-0.5</v>
      </c>
    </row>
    <row r="298" spans="1:10" x14ac:dyDescent="0.3">
      <c r="A298" t="s">
        <v>569</v>
      </c>
      <c r="B298" t="s">
        <v>570</v>
      </c>
      <c r="C298">
        <v>1.41E-2</v>
      </c>
      <c r="D298">
        <v>0.12</v>
      </c>
      <c r="E298">
        <v>864710</v>
      </c>
      <c r="F298">
        <v>39030</v>
      </c>
      <c r="G298">
        <v>61470000</v>
      </c>
      <c r="H298">
        <f>Sheet1[[#This Row],[Volume (24h)]]/Sheet1[[#This Row],[Circulating Supply]]</f>
        <v>6.3494387506100533E-4</v>
      </c>
      <c r="I298">
        <f>RANK(Sheet1[[#This Row],[Market Cap]],Sheet1[Market Cap],0)</f>
        <v>297</v>
      </c>
      <c r="J298" t="str">
        <f t="shared" si="4"/>
        <v>0-0.5</v>
      </c>
    </row>
    <row r="299" spans="1:10" x14ac:dyDescent="0.3">
      <c r="A299" t="s">
        <v>571</v>
      </c>
      <c r="B299" t="s">
        <v>572</v>
      </c>
      <c r="C299">
        <v>6.7999999999999996E-3</v>
      </c>
      <c r="D299">
        <v>0.32</v>
      </c>
      <c r="E299">
        <v>863810</v>
      </c>
      <c r="F299">
        <v>75990</v>
      </c>
      <c r="G299">
        <v>126120000</v>
      </c>
      <c r="H299">
        <f>Sheet1[[#This Row],[Volume (24h)]]/Sheet1[[#This Row],[Circulating Supply]]</f>
        <v>6.0252140818268314E-4</v>
      </c>
      <c r="I299">
        <f>RANK(Sheet1[[#This Row],[Market Cap]],Sheet1[Market Cap],0)</f>
        <v>298</v>
      </c>
      <c r="J299" t="str">
        <f t="shared" si="4"/>
        <v>0-0.5</v>
      </c>
    </row>
    <row r="300" spans="1:10" x14ac:dyDescent="0.3">
      <c r="A300" t="s">
        <v>573</v>
      </c>
      <c r="B300" t="s">
        <v>574</v>
      </c>
      <c r="C300">
        <v>2.0000000000000001E-4</v>
      </c>
      <c r="D300">
        <v>2.02</v>
      </c>
      <c r="E300">
        <v>863090</v>
      </c>
      <c r="F300">
        <v>182740</v>
      </c>
      <c r="G300">
        <v>3610000000</v>
      </c>
      <c r="H300">
        <f>Sheet1[[#This Row],[Volume (24h)]]/Sheet1[[#This Row],[Circulating Supply]]</f>
        <v>5.0620498614958451E-5</v>
      </c>
      <c r="I300">
        <f>RANK(Sheet1[[#This Row],[Market Cap]],Sheet1[Market Cap],0)</f>
        <v>299</v>
      </c>
      <c r="J300" t="str">
        <f t="shared" si="4"/>
        <v>0-0.5</v>
      </c>
    </row>
    <row r="301" spans="1:10" x14ac:dyDescent="0.3">
      <c r="A301" t="s">
        <v>575</v>
      </c>
      <c r="B301" t="s">
        <v>576</v>
      </c>
      <c r="C301">
        <v>8.9999999999999998E-4</v>
      </c>
      <c r="D301">
        <v>4.4800000000000004</v>
      </c>
      <c r="E301">
        <v>861080</v>
      </c>
      <c r="F301">
        <v>1760</v>
      </c>
      <c r="G301">
        <v>944180000</v>
      </c>
      <c r="H301">
        <f>Sheet1[[#This Row],[Volume (24h)]]/Sheet1[[#This Row],[Circulating Supply]]</f>
        <v>1.8640513461416256E-6</v>
      </c>
      <c r="I301">
        <f>RANK(Sheet1[[#This Row],[Market Cap]],Sheet1[Market Cap],0)</f>
        <v>300</v>
      </c>
      <c r="J301" t="str">
        <f t="shared" si="4"/>
        <v>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7E51A-113A-4121-8775-116D916DAFCD}">
  <dimension ref="A2:B48"/>
  <sheetViews>
    <sheetView topLeftCell="A27" zoomScale="67" workbookViewId="0">
      <selection activeCell="A53" sqref="A53"/>
    </sheetView>
  </sheetViews>
  <sheetFormatPr defaultRowHeight="14.4" x14ac:dyDescent="0.3"/>
  <cols>
    <col min="1" max="1" width="50.88671875" bestFit="1" customWidth="1"/>
    <col min="2" max="2" width="30.6640625" bestFit="1" customWidth="1"/>
    <col min="3" max="3" width="31.5546875" bestFit="1" customWidth="1"/>
  </cols>
  <sheetData>
    <row r="2" spans="1:2" x14ac:dyDescent="0.3">
      <c r="A2" s="2" t="s">
        <v>0</v>
      </c>
      <c r="B2" t="s">
        <v>582</v>
      </c>
    </row>
    <row r="3" spans="1:2" x14ac:dyDescent="0.3">
      <c r="A3" s="3" t="s">
        <v>403</v>
      </c>
      <c r="B3">
        <v>479.08</v>
      </c>
    </row>
    <row r="4" spans="1:2" x14ac:dyDescent="0.3">
      <c r="A4" s="3" t="s">
        <v>9</v>
      </c>
      <c r="B4">
        <v>62905.02</v>
      </c>
    </row>
    <row r="5" spans="1:2" x14ac:dyDescent="0.3">
      <c r="A5" s="3" t="s">
        <v>15</v>
      </c>
      <c r="B5">
        <v>586.66999999999996</v>
      </c>
    </row>
    <row r="6" spans="1:2" x14ac:dyDescent="0.3">
      <c r="A6" s="3" t="s">
        <v>11</v>
      </c>
      <c r="B6">
        <v>1861.07</v>
      </c>
    </row>
    <row r="7" spans="1:2" x14ac:dyDescent="0.3">
      <c r="A7" s="3" t="s">
        <v>358</v>
      </c>
      <c r="B7">
        <v>592.08000000000004</v>
      </c>
    </row>
    <row r="8" spans="1:2" x14ac:dyDescent="0.3">
      <c r="A8" s="3" t="s">
        <v>497</v>
      </c>
      <c r="B8">
        <v>575.01</v>
      </c>
    </row>
    <row r="9" spans="1:2" x14ac:dyDescent="0.3">
      <c r="A9" s="3" t="s">
        <v>418</v>
      </c>
      <c r="B9">
        <v>554.79999999999995</v>
      </c>
    </row>
    <row r="10" spans="1:2" x14ac:dyDescent="0.3">
      <c r="A10" s="3" t="s">
        <v>184</v>
      </c>
      <c r="B10">
        <v>819.57</v>
      </c>
    </row>
    <row r="11" spans="1:2" x14ac:dyDescent="0.3">
      <c r="A11" s="3" t="s">
        <v>196</v>
      </c>
      <c r="B11">
        <v>697.68</v>
      </c>
    </row>
    <row r="12" spans="1:2" x14ac:dyDescent="0.3">
      <c r="A12" s="3" t="s">
        <v>192</v>
      </c>
      <c r="B12">
        <v>1211.4100000000001</v>
      </c>
    </row>
    <row r="13" spans="1:2" x14ac:dyDescent="0.3">
      <c r="A13" s="3" t="s">
        <v>581</v>
      </c>
      <c r="B13">
        <v>70282.39</v>
      </c>
    </row>
    <row r="37" spans="1:2" x14ac:dyDescent="0.3">
      <c r="A37" s="2" t="s">
        <v>0</v>
      </c>
      <c r="B37" t="s">
        <v>583</v>
      </c>
    </row>
    <row r="38" spans="1:2" x14ac:dyDescent="0.3">
      <c r="A38" s="3" t="s">
        <v>380</v>
      </c>
      <c r="B38">
        <v>5.57</v>
      </c>
    </row>
    <row r="39" spans="1:2" x14ac:dyDescent="0.3">
      <c r="A39" s="3" t="s">
        <v>150</v>
      </c>
      <c r="B39">
        <v>4.53</v>
      </c>
    </row>
    <row r="40" spans="1:2" x14ac:dyDescent="0.3">
      <c r="A40" s="3" t="s">
        <v>489</v>
      </c>
      <c r="B40">
        <v>9.1999999999999993</v>
      </c>
    </row>
    <row r="41" spans="1:2" x14ac:dyDescent="0.3">
      <c r="A41" s="3" t="s">
        <v>526</v>
      </c>
      <c r="B41">
        <v>3.39</v>
      </c>
    </row>
    <row r="42" spans="1:2" x14ac:dyDescent="0.3">
      <c r="A42" s="3" t="s">
        <v>504</v>
      </c>
      <c r="B42">
        <v>5.66</v>
      </c>
    </row>
    <row r="43" spans="1:2" x14ac:dyDescent="0.3">
      <c r="A43" s="3" t="s">
        <v>575</v>
      </c>
      <c r="B43">
        <v>4.4800000000000004</v>
      </c>
    </row>
    <row r="44" spans="1:2" x14ac:dyDescent="0.3">
      <c r="A44" s="3" t="s">
        <v>405</v>
      </c>
      <c r="B44">
        <v>3.85</v>
      </c>
    </row>
    <row r="45" spans="1:2" x14ac:dyDescent="0.3">
      <c r="A45" s="3" t="s">
        <v>257</v>
      </c>
      <c r="B45">
        <v>3.06</v>
      </c>
    </row>
    <row r="46" spans="1:2" x14ac:dyDescent="0.3">
      <c r="A46" s="3" t="s">
        <v>225</v>
      </c>
      <c r="B46">
        <v>4.3499999999999996</v>
      </c>
    </row>
    <row r="47" spans="1:2" x14ac:dyDescent="0.3">
      <c r="A47" s="3" t="s">
        <v>532</v>
      </c>
      <c r="B47">
        <v>16.46</v>
      </c>
    </row>
    <row r="48" spans="1:2" x14ac:dyDescent="0.3">
      <c r="A48" s="3" t="s">
        <v>581</v>
      </c>
      <c r="B48">
        <v>60.550000000000004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6EF1-EA69-4B6B-B56F-C90D796F3160}">
  <dimension ref="A2:X358"/>
  <sheetViews>
    <sheetView zoomScale="44" zoomScaleNormal="100" workbookViewId="0">
      <selection activeCell="W64" sqref="W64:X85"/>
    </sheetView>
  </sheetViews>
  <sheetFormatPr defaultRowHeight="14.4" x14ac:dyDescent="0.3"/>
  <cols>
    <col min="1" max="1" width="54.44140625" bestFit="1" customWidth="1"/>
    <col min="2" max="2" width="24.5546875" bestFit="1" customWidth="1"/>
    <col min="3" max="3" width="24.88671875" bestFit="1" customWidth="1"/>
    <col min="5" max="5" width="15.21875" bestFit="1" customWidth="1"/>
    <col min="7" max="7" width="12.33203125" bestFit="1" customWidth="1"/>
    <col min="17" max="17" width="32.6640625" bestFit="1" customWidth="1"/>
    <col min="18" max="18" width="17.33203125" bestFit="1" customWidth="1"/>
    <col min="23" max="23" width="38.5546875" bestFit="1" customWidth="1"/>
    <col min="24" max="24" width="26.88671875" bestFit="1" customWidth="1"/>
  </cols>
  <sheetData>
    <row r="2" spans="1:2" x14ac:dyDescent="0.3">
      <c r="A2" s="2" t="s">
        <v>0</v>
      </c>
      <c r="B2" t="s">
        <v>582</v>
      </c>
    </row>
    <row r="3" spans="1:2" x14ac:dyDescent="0.3">
      <c r="A3" s="3" t="s">
        <v>403</v>
      </c>
      <c r="B3" s="4">
        <v>479.08</v>
      </c>
    </row>
    <row r="4" spans="1:2" x14ac:dyDescent="0.3">
      <c r="A4" s="3" t="s">
        <v>9</v>
      </c>
      <c r="B4" s="4">
        <v>62905.02</v>
      </c>
    </row>
    <row r="5" spans="1:2" x14ac:dyDescent="0.3">
      <c r="A5" s="3" t="s">
        <v>15</v>
      </c>
      <c r="B5" s="4">
        <v>586.66999999999996</v>
      </c>
    </row>
    <row r="6" spans="1:2" x14ac:dyDescent="0.3">
      <c r="A6" s="3" t="s">
        <v>11</v>
      </c>
      <c r="B6" s="4">
        <v>1861.07</v>
      </c>
    </row>
    <row r="7" spans="1:2" x14ac:dyDescent="0.3">
      <c r="A7" s="3" t="s">
        <v>358</v>
      </c>
      <c r="B7" s="4">
        <v>592.08000000000004</v>
      </c>
    </row>
    <row r="8" spans="1:2" x14ac:dyDescent="0.3">
      <c r="A8" s="3" t="s">
        <v>497</v>
      </c>
      <c r="B8" s="4">
        <v>575.01</v>
      </c>
    </row>
    <row r="9" spans="1:2" x14ac:dyDescent="0.3">
      <c r="A9" s="3" t="s">
        <v>418</v>
      </c>
      <c r="B9" s="4">
        <v>554.79999999999995</v>
      </c>
    </row>
    <row r="10" spans="1:2" x14ac:dyDescent="0.3">
      <c r="A10" s="3" t="s">
        <v>184</v>
      </c>
      <c r="B10" s="4">
        <v>819.57</v>
      </c>
    </row>
    <row r="11" spans="1:2" x14ac:dyDescent="0.3">
      <c r="A11" s="3" t="s">
        <v>196</v>
      </c>
      <c r="B11" s="4">
        <v>697.68</v>
      </c>
    </row>
    <row r="12" spans="1:2" x14ac:dyDescent="0.3">
      <c r="A12" s="3" t="s">
        <v>192</v>
      </c>
      <c r="B12" s="4">
        <v>1211.4100000000001</v>
      </c>
    </row>
    <row r="13" spans="1:2" x14ac:dyDescent="0.3">
      <c r="A13" s="3" t="s">
        <v>581</v>
      </c>
      <c r="B13" s="4">
        <v>70282.39</v>
      </c>
    </row>
    <row r="20" spans="1:2" x14ac:dyDescent="0.3">
      <c r="A20" s="2" t="s">
        <v>0</v>
      </c>
      <c r="B20" t="s">
        <v>583</v>
      </c>
    </row>
    <row r="21" spans="1:2" x14ac:dyDescent="0.3">
      <c r="A21" s="3" t="s">
        <v>380</v>
      </c>
      <c r="B21" s="4">
        <v>5.57</v>
      </c>
    </row>
    <row r="22" spans="1:2" x14ac:dyDescent="0.3">
      <c r="A22" s="3" t="s">
        <v>150</v>
      </c>
      <c r="B22" s="4">
        <v>4.53</v>
      </c>
    </row>
    <row r="23" spans="1:2" x14ac:dyDescent="0.3">
      <c r="A23" s="3" t="s">
        <v>489</v>
      </c>
      <c r="B23" s="4">
        <v>9.1999999999999993</v>
      </c>
    </row>
    <row r="24" spans="1:2" x14ac:dyDescent="0.3">
      <c r="A24" s="3" t="s">
        <v>526</v>
      </c>
      <c r="B24" s="4">
        <v>3.39</v>
      </c>
    </row>
    <row r="25" spans="1:2" x14ac:dyDescent="0.3">
      <c r="A25" s="3" t="s">
        <v>504</v>
      </c>
      <c r="B25" s="4">
        <v>5.66</v>
      </c>
    </row>
    <row r="26" spans="1:2" x14ac:dyDescent="0.3">
      <c r="A26" s="3" t="s">
        <v>575</v>
      </c>
      <c r="B26" s="4">
        <v>4.4800000000000004</v>
      </c>
    </row>
    <row r="27" spans="1:2" x14ac:dyDescent="0.3">
      <c r="A27" s="3" t="s">
        <v>405</v>
      </c>
      <c r="B27" s="4">
        <v>3.85</v>
      </c>
    </row>
    <row r="28" spans="1:2" x14ac:dyDescent="0.3">
      <c r="A28" s="3" t="s">
        <v>257</v>
      </c>
      <c r="B28" s="4">
        <v>3.06</v>
      </c>
    </row>
    <row r="29" spans="1:2" x14ac:dyDescent="0.3">
      <c r="A29" s="3" t="s">
        <v>225</v>
      </c>
      <c r="B29" s="4">
        <v>4.3499999999999996</v>
      </c>
    </row>
    <row r="30" spans="1:2" x14ac:dyDescent="0.3">
      <c r="A30" s="3" t="s">
        <v>532</v>
      </c>
      <c r="B30" s="4">
        <v>16.46</v>
      </c>
    </row>
    <row r="31" spans="1:2" x14ac:dyDescent="0.3">
      <c r="A31" s="3" t="s">
        <v>581</v>
      </c>
      <c r="B31" s="4">
        <v>60.550000000000004</v>
      </c>
    </row>
    <row r="37" spans="1:3" x14ac:dyDescent="0.3">
      <c r="A37" s="2" t="s">
        <v>580</v>
      </c>
      <c r="B37" t="s">
        <v>585</v>
      </c>
      <c r="C37" t="s">
        <v>582</v>
      </c>
    </row>
    <row r="38" spans="1:3" x14ac:dyDescent="0.3">
      <c r="A38" s="3" t="s">
        <v>403</v>
      </c>
      <c r="B38" s="4">
        <v>692.98245614035091</v>
      </c>
      <c r="C38" s="4">
        <v>479.08</v>
      </c>
    </row>
    <row r="39" spans="1:3" x14ac:dyDescent="0.3">
      <c r="A39" s="3" t="s">
        <v>562</v>
      </c>
      <c r="B39" s="4">
        <v>394.40993788819878</v>
      </c>
      <c r="C39" s="4">
        <v>270.94</v>
      </c>
    </row>
    <row r="40" spans="1:3" x14ac:dyDescent="0.3">
      <c r="A40" s="3" t="s">
        <v>441</v>
      </c>
      <c r="B40" s="4">
        <v>195.00870574579221</v>
      </c>
      <c r="C40" s="4">
        <v>59.16</v>
      </c>
    </row>
    <row r="41" spans="1:3" x14ac:dyDescent="0.3">
      <c r="A41" s="3" t="s">
        <v>9</v>
      </c>
      <c r="B41" s="4">
        <v>1544.865403788634</v>
      </c>
      <c r="C41" s="4">
        <v>62905.02</v>
      </c>
    </row>
    <row r="42" spans="1:3" x14ac:dyDescent="0.3">
      <c r="A42" s="3" t="s">
        <v>538</v>
      </c>
      <c r="B42" s="4">
        <v>385.37549407114625</v>
      </c>
      <c r="C42" s="4">
        <v>206.65</v>
      </c>
    </row>
    <row r="43" spans="1:3" x14ac:dyDescent="0.3">
      <c r="A43" s="3" t="s">
        <v>340</v>
      </c>
      <c r="B43" s="4">
        <v>209.62199312714776</v>
      </c>
      <c r="C43" s="4">
        <v>389.13</v>
      </c>
    </row>
    <row r="44" spans="1:3" x14ac:dyDescent="0.3">
      <c r="A44" s="3" t="s">
        <v>358</v>
      </c>
      <c r="B44" s="4">
        <v>179.59183673469389</v>
      </c>
      <c r="C44" s="4">
        <v>592.08000000000004</v>
      </c>
    </row>
    <row r="45" spans="1:3" x14ac:dyDescent="0.3">
      <c r="A45" s="3" t="s">
        <v>497</v>
      </c>
      <c r="B45" s="4">
        <v>586.66666666666663</v>
      </c>
      <c r="C45" s="4">
        <v>575.01</v>
      </c>
    </row>
    <row r="46" spans="1:3" x14ac:dyDescent="0.3">
      <c r="A46" s="3" t="s">
        <v>171</v>
      </c>
      <c r="B46" s="4">
        <v>302.16824258232799</v>
      </c>
      <c r="C46" s="4">
        <v>113.71</v>
      </c>
    </row>
    <row r="47" spans="1:3" x14ac:dyDescent="0.3">
      <c r="A47" s="3" t="s">
        <v>262</v>
      </c>
      <c r="B47" s="4">
        <v>237.27919852359611</v>
      </c>
      <c r="C47" s="4">
        <v>310.04000000000002</v>
      </c>
    </row>
    <row r="48" spans="1:3" x14ac:dyDescent="0.3">
      <c r="A48" s="3" t="s">
        <v>581</v>
      </c>
      <c r="B48" s="4">
        <v>4727.9699352685548</v>
      </c>
      <c r="C48" s="4">
        <v>65900.819999999992</v>
      </c>
    </row>
    <row r="57" spans="1:24" x14ac:dyDescent="0.3">
      <c r="A57" s="2" t="s">
        <v>0</v>
      </c>
      <c r="B57" t="s">
        <v>586</v>
      </c>
    </row>
    <row r="58" spans="1:24" x14ac:dyDescent="0.3">
      <c r="A58" s="3" t="s">
        <v>9</v>
      </c>
      <c r="B58" s="4">
        <v>1260000000000</v>
      </c>
    </row>
    <row r="59" spans="1:24" x14ac:dyDescent="0.3">
      <c r="A59" s="3" t="s">
        <v>11</v>
      </c>
      <c r="B59" s="4">
        <v>224490000000</v>
      </c>
    </row>
    <row r="60" spans="1:24" x14ac:dyDescent="0.3">
      <c r="A60" s="3" t="s">
        <v>13</v>
      </c>
      <c r="B60" s="4">
        <v>183630000000</v>
      </c>
    </row>
    <row r="61" spans="1:24" x14ac:dyDescent="0.3">
      <c r="A61" s="3" t="s">
        <v>15</v>
      </c>
      <c r="B61" s="4">
        <v>78080000000</v>
      </c>
    </row>
    <row r="62" spans="1:24" x14ac:dyDescent="0.3">
      <c r="A62" s="3" t="s">
        <v>16</v>
      </c>
      <c r="B62" s="4">
        <v>71920000000</v>
      </c>
    </row>
    <row r="63" spans="1:24" x14ac:dyDescent="0.3">
      <c r="A63" s="3" t="s">
        <v>17</v>
      </c>
      <c r="B63" s="4">
        <v>66340000000</v>
      </c>
      <c r="F63" t="s">
        <v>588</v>
      </c>
      <c r="G63">
        <f>GETPIVOTDATA("Market Cap",$B$58)</f>
        <v>2046242643250</v>
      </c>
    </row>
    <row r="64" spans="1:24" x14ac:dyDescent="0.3">
      <c r="A64" s="3" t="s">
        <v>18</v>
      </c>
      <c r="B64" s="4">
        <v>42240000000</v>
      </c>
      <c r="W64" s="2" t="s">
        <v>0</v>
      </c>
      <c r="X64" t="s">
        <v>583</v>
      </c>
    </row>
    <row r="65" spans="1:24" x14ac:dyDescent="0.3">
      <c r="A65" s="3" t="s">
        <v>20</v>
      </c>
      <c r="B65" s="4">
        <v>30910000000</v>
      </c>
      <c r="W65" s="3" t="s">
        <v>532</v>
      </c>
      <c r="X65" s="4">
        <v>16.46</v>
      </c>
    </row>
    <row r="66" spans="1:24" x14ac:dyDescent="0.3">
      <c r="A66" s="3" t="s">
        <v>22</v>
      </c>
      <c r="B66" s="4">
        <v>13320000000</v>
      </c>
      <c r="D66" t="str">
        <f>A58</f>
        <v>Bitcoin</v>
      </c>
      <c r="E66">
        <f>B58</f>
        <v>1260000000000</v>
      </c>
      <c r="W66" s="5" t="s">
        <v>533</v>
      </c>
      <c r="X66" s="4">
        <v>16.46</v>
      </c>
    </row>
    <row r="67" spans="1:24" x14ac:dyDescent="0.3">
      <c r="A67" s="3" t="s">
        <v>24</v>
      </c>
      <c r="B67" s="4">
        <v>10780000000</v>
      </c>
      <c r="D67" t="str">
        <f t="shared" ref="D67:D70" si="0">A59</f>
        <v>Ethereum</v>
      </c>
      <c r="E67">
        <f t="shared" ref="E67:E70" si="1">B59</f>
        <v>224490000000</v>
      </c>
      <c r="W67" s="3" t="s">
        <v>225</v>
      </c>
      <c r="X67" s="4">
        <v>4.3499999999999996</v>
      </c>
    </row>
    <row r="68" spans="1:24" x14ac:dyDescent="0.3">
      <c r="A68" s="3" t="s">
        <v>26</v>
      </c>
      <c r="B68" s="4">
        <v>8970000000</v>
      </c>
      <c r="D68" t="str">
        <f t="shared" si="0"/>
        <v>Tether</v>
      </c>
      <c r="E68">
        <f t="shared" si="1"/>
        <v>183630000000</v>
      </c>
      <c r="W68" s="5" t="s">
        <v>225</v>
      </c>
      <c r="X68" s="4">
        <v>4.3499999999999996</v>
      </c>
    </row>
    <row r="69" spans="1:24" x14ac:dyDescent="0.3">
      <c r="A69" s="3" t="s">
        <v>63</v>
      </c>
      <c r="B69" s="4">
        <v>8850000000</v>
      </c>
      <c r="D69" t="str">
        <f t="shared" si="0"/>
        <v>BNB</v>
      </c>
      <c r="E69">
        <f t="shared" si="1"/>
        <v>78080000000</v>
      </c>
      <c r="W69" s="3" t="s">
        <v>257</v>
      </c>
      <c r="X69" s="4">
        <v>3.06</v>
      </c>
    </row>
    <row r="70" spans="1:24" x14ac:dyDescent="0.3">
      <c r="A70" s="3" t="s">
        <v>65</v>
      </c>
      <c r="B70" s="4">
        <v>8160000000</v>
      </c>
      <c r="D70" t="str">
        <f t="shared" si="0"/>
        <v>USDC</v>
      </c>
      <c r="E70">
        <f t="shared" si="1"/>
        <v>71920000000</v>
      </c>
      <c r="W70" s="5" t="s">
        <v>258</v>
      </c>
      <c r="X70" s="4">
        <v>3.06</v>
      </c>
    </row>
    <row r="71" spans="1:24" x14ac:dyDescent="0.3">
      <c r="A71" s="3" t="s">
        <v>28</v>
      </c>
      <c r="B71" s="4">
        <v>7650000000</v>
      </c>
      <c r="D71" t="s">
        <v>587</v>
      </c>
      <c r="E71">
        <f>G63-SUM(E66,E67,E68,E69,E70)</f>
        <v>228122643250</v>
      </c>
      <c r="W71" s="3" t="s">
        <v>405</v>
      </c>
      <c r="X71" s="4">
        <v>3.85</v>
      </c>
    </row>
    <row r="72" spans="1:24" x14ac:dyDescent="0.3">
      <c r="A72" s="3" t="s">
        <v>30</v>
      </c>
      <c r="B72" s="4">
        <v>6660000000</v>
      </c>
      <c r="W72" s="5" t="s">
        <v>406</v>
      </c>
      <c r="X72" s="4">
        <v>3.85</v>
      </c>
    </row>
    <row r="73" spans="1:24" x14ac:dyDescent="0.3">
      <c r="A73" s="3" t="s">
        <v>32</v>
      </c>
      <c r="B73" s="4">
        <v>6160000000</v>
      </c>
      <c r="W73" s="3" t="s">
        <v>575</v>
      </c>
      <c r="X73" s="4">
        <v>4.4800000000000004</v>
      </c>
    </row>
    <row r="74" spans="1:24" x14ac:dyDescent="0.3">
      <c r="A74" s="3" t="s">
        <v>67</v>
      </c>
      <c r="B74" s="4">
        <v>2150000000</v>
      </c>
      <c r="W74" s="5" t="s">
        <v>576</v>
      </c>
      <c r="X74" s="4">
        <v>4.4800000000000004</v>
      </c>
    </row>
    <row r="75" spans="1:24" x14ac:dyDescent="0.3">
      <c r="A75" s="3" t="s">
        <v>69</v>
      </c>
      <c r="B75" s="4">
        <v>1590000000</v>
      </c>
      <c r="W75" s="3" t="s">
        <v>504</v>
      </c>
      <c r="X75" s="4">
        <v>5.66</v>
      </c>
    </row>
    <row r="76" spans="1:24" x14ac:dyDescent="0.3">
      <c r="A76" s="3" t="s">
        <v>70</v>
      </c>
      <c r="B76" s="4">
        <v>1250000000</v>
      </c>
      <c r="W76" s="5" t="s">
        <v>505</v>
      </c>
      <c r="X76" s="4">
        <v>5.66</v>
      </c>
    </row>
    <row r="77" spans="1:24" x14ac:dyDescent="0.3">
      <c r="A77" s="3" t="s">
        <v>72</v>
      </c>
      <c r="B77" s="4">
        <v>1110000000</v>
      </c>
      <c r="W77" s="3" t="s">
        <v>526</v>
      </c>
      <c r="X77" s="4">
        <v>3.39</v>
      </c>
    </row>
    <row r="78" spans="1:24" x14ac:dyDescent="0.3">
      <c r="A78" s="3" t="s">
        <v>73</v>
      </c>
      <c r="B78" s="4">
        <v>867730000</v>
      </c>
      <c r="W78" s="5" t="s">
        <v>527</v>
      </c>
      <c r="X78" s="4">
        <v>3.39</v>
      </c>
    </row>
    <row r="79" spans="1:24" x14ac:dyDescent="0.3">
      <c r="A79" s="3" t="s">
        <v>75</v>
      </c>
      <c r="B79" s="4">
        <v>797050000</v>
      </c>
      <c r="W79" s="3" t="s">
        <v>489</v>
      </c>
      <c r="X79" s="4">
        <v>9.1999999999999993</v>
      </c>
    </row>
    <row r="80" spans="1:24" x14ac:dyDescent="0.3">
      <c r="A80" s="3" t="s">
        <v>77</v>
      </c>
      <c r="B80" s="4">
        <v>649330000</v>
      </c>
      <c r="W80" s="5" t="s">
        <v>490</v>
      </c>
      <c r="X80" s="4">
        <v>9.1999999999999993</v>
      </c>
    </row>
    <row r="81" spans="1:24" x14ac:dyDescent="0.3">
      <c r="A81" s="3" t="s">
        <v>79</v>
      </c>
      <c r="B81" s="4">
        <v>647910000</v>
      </c>
      <c r="W81" s="3" t="s">
        <v>150</v>
      </c>
      <c r="X81" s="4">
        <v>4.53</v>
      </c>
    </row>
    <row r="82" spans="1:24" x14ac:dyDescent="0.3">
      <c r="A82" s="3" t="s">
        <v>80</v>
      </c>
      <c r="B82" s="4">
        <v>556020000</v>
      </c>
      <c r="W82" s="5" t="s">
        <v>151</v>
      </c>
      <c r="X82" s="4">
        <v>4.53</v>
      </c>
    </row>
    <row r="83" spans="1:24" x14ac:dyDescent="0.3">
      <c r="A83" s="3" t="s">
        <v>82</v>
      </c>
      <c r="B83" s="4">
        <v>518340000.00000012</v>
      </c>
      <c r="W83" s="3" t="s">
        <v>380</v>
      </c>
      <c r="X83" s="4">
        <v>5.57</v>
      </c>
    </row>
    <row r="84" spans="1:24" x14ac:dyDescent="0.3">
      <c r="A84" s="3" t="s">
        <v>84</v>
      </c>
      <c r="B84" s="4">
        <v>501100000</v>
      </c>
      <c r="W84" s="5" t="s">
        <v>381</v>
      </c>
      <c r="X84" s="4">
        <v>5.57</v>
      </c>
    </row>
    <row r="85" spans="1:24" x14ac:dyDescent="0.3">
      <c r="A85" s="3" t="s">
        <v>86</v>
      </c>
      <c r="B85" s="4">
        <v>395370000</v>
      </c>
      <c r="W85" s="3" t="s">
        <v>581</v>
      </c>
      <c r="X85" s="4">
        <v>60.550000000000004</v>
      </c>
    </row>
    <row r="86" spans="1:24" x14ac:dyDescent="0.3">
      <c r="A86" s="3" t="s">
        <v>34</v>
      </c>
      <c r="B86" s="4">
        <v>268070000</v>
      </c>
    </row>
    <row r="87" spans="1:24" x14ac:dyDescent="0.3">
      <c r="A87" s="3" t="s">
        <v>36</v>
      </c>
      <c r="B87" s="4">
        <v>266440000</v>
      </c>
    </row>
    <row r="88" spans="1:24" x14ac:dyDescent="0.3">
      <c r="A88" s="3" t="s">
        <v>88</v>
      </c>
      <c r="B88" s="4">
        <v>260640000</v>
      </c>
    </row>
    <row r="89" spans="1:24" x14ac:dyDescent="0.3">
      <c r="A89" s="3" t="s">
        <v>38</v>
      </c>
      <c r="B89" s="4">
        <v>258040000</v>
      </c>
    </row>
    <row r="90" spans="1:24" x14ac:dyDescent="0.3">
      <c r="A90" s="3" t="s">
        <v>40</v>
      </c>
      <c r="B90" s="4">
        <v>255660000</v>
      </c>
    </row>
    <row r="91" spans="1:24" x14ac:dyDescent="0.3">
      <c r="A91" s="3" t="s">
        <v>41</v>
      </c>
      <c r="B91" s="4">
        <v>255370000</v>
      </c>
    </row>
    <row r="92" spans="1:24" x14ac:dyDescent="0.3">
      <c r="A92" s="3" t="s">
        <v>43</v>
      </c>
      <c r="B92" s="4">
        <v>252500000</v>
      </c>
    </row>
    <row r="93" spans="1:24" x14ac:dyDescent="0.3">
      <c r="A93" s="3" t="s">
        <v>45</v>
      </c>
      <c r="B93" s="4">
        <v>251970000</v>
      </c>
    </row>
    <row r="94" spans="1:24" x14ac:dyDescent="0.3">
      <c r="A94" s="3" t="s">
        <v>47</v>
      </c>
      <c r="B94" s="4">
        <v>247330000</v>
      </c>
    </row>
    <row r="95" spans="1:24" x14ac:dyDescent="0.3">
      <c r="A95" s="3" t="s">
        <v>49</v>
      </c>
      <c r="B95" s="4">
        <v>244880000</v>
      </c>
    </row>
    <row r="96" spans="1:24" x14ac:dyDescent="0.3">
      <c r="A96" s="3" t="s">
        <v>51</v>
      </c>
      <c r="B96" s="4">
        <v>244180000</v>
      </c>
    </row>
    <row r="97" spans="1:17" x14ac:dyDescent="0.3">
      <c r="A97" s="3" t="s">
        <v>53</v>
      </c>
      <c r="B97" s="4">
        <v>230930000</v>
      </c>
    </row>
    <row r="98" spans="1:17" x14ac:dyDescent="0.3">
      <c r="A98" s="3" t="s">
        <v>55</v>
      </c>
      <c r="B98" s="4">
        <v>223520000</v>
      </c>
    </row>
    <row r="99" spans="1:17" x14ac:dyDescent="0.3">
      <c r="A99" s="3" t="s">
        <v>57</v>
      </c>
      <c r="B99" s="4">
        <v>218720000</v>
      </c>
    </row>
    <row r="100" spans="1:17" x14ac:dyDescent="0.3">
      <c r="A100" s="3" t="s">
        <v>59</v>
      </c>
      <c r="B100" s="4">
        <v>212680000</v>
      </c>
    </row>
    <row r="101" spans="1:17" x14ac:dyDescent="0.3">
      <c r="A101" s="3" t="s">
        <v>61</v>
      </c>
      <c r="B101" s="4">
        <v>212500000</v>
      </c>
    </row>
    <row r="102" spans="1:17" x14ac:dyDescent="0.3">
      <c r="A102" s="3" t="s">
        <v>90</v>
      </c>
      <c r="B102" s="4">
        <v>58580000</v>
      </c>
    </row>
    <row r="103" spans="1:17" x14ac:dyDescent="0.3">
      <c r="A103" s="3" t="s">
        <v>92</v>
      </c>
      <c r="B103" s="4">
        <v>58250000</v>
      </c>
    </row>
    <row r="104" spans="1:17" x14ac:dyDescent="0.3">
      <c r="A104" s="3" t="s">
        <v>94</v>
      </c>
      <c r="B104" s="4">
        <v>57820000</v>
      </c>
    </row>
    <row r="105" spans="1:17" x14ac:dyDescent="0.3">
      <c r="A105" s="3" t="s">
        <v>96</v>
      </c>
      <c r="B105" s="4">
        <v>57720000</v>
      </c>
    </row>
    <row r="106" spans="1:17" x14ac:dyDescent="0.3">
      <c r="A106" s="3" t="s">
        <v>98</v>
      </c>
      <c r="B106" s="4">
        <v>56390000</v>
      </c>
    </row>
    <row r="107" spans="1:17" x14ac:dyDescent="0.3">
      <c r="A107" s="3" t="s">
        <v>100</v>
      </c>
      <c r="B107" s="4">
        <v>55980000</v>
      </c>
    </row>
    <row r="108" spans="1:17" x14ac:dyDescent="0.3">
      <c r="A108" s="3" t="s">
        <v>102</v>
      </c>
      <c r="B108" s="4">
        <v>55420000</v>
      </c>
      <c r="N108" t="s">
        <v>589</v>
      </c>
      <c r="Q108" t="s">
        <v>586</v>
      </c>
    </row>
    <row r="109" spans="1:17" x14ac:dyDescent="0.3">
      <c r="A109" s="3" t="s">
        <v>104</v>
      </c>
      <c r="B109" s="4">
        <v>54950000</v>
      </c>
      <c r="Q109" s="4">
        <v>2046242643250</v>
      </c>
    </row>
    <row r="110" spans="1:17" x14ac:dyDescent="0.3">
      <c r="A110" s="3" t="s">
        <v>108</v>
      </c>
      <c r="B110" s="4">
        <v>54570000</v>
      </c>
      <c r="N110" t="s">
        <v>590</v>
      </c>
    </row>
    <row r="111" spans="1:17" x14ac:dyDescent="0.3">
      <c r="A111" s="3" t="s">
        <v>106</v>
      </c>
      <c r="B111" s="4">
        <v>54510000</v>
      </c>
      <c r="Q111" t="s">
        <v>582</v>
      </c>
    </row>
    <row r="112" spans="1:17" x14ac:dyDescent="0.3">
      <c r="A112" s="3" t="s">
        <v>110</v>
      </c>
      <c r="B112" s="4">
        <v>54060000</v>
      </c>
      <c r="N112" t="s">
        <v>591</v>
      </c>
      <c r="Q112" s="4">
        <v>75333.418445849966</v>
      </c>
    </row>
    <row r="113" spans="1:17" x14ac:dyDescent="0.3">
      <c r="A113" s="3" t="s">
        <v>116</v>
      </c>
      <c r="B113" s="4">
        <v>53790000</v>
      </c>
    </row>
    <row r="114" spans="1:17" x14ac:dyDescent="0.3">
      <c r="A114" s="3" t="s">
        <v>112</v>
      </c>
      <c r="B114" s="4">
        <v>53740000</v>
      </c>
      <c r="N114" t="s">
        <v>594</v>
      </c>
      <c r="Q114" t="s">
        <v>584</v>
      </c>
    </row>
    <row r="115" spans="1:17" x14ac:dyDescent="0.3">
      <c r="A115" s="3" t="s">
        <v>114</v>
      </c>
      <c r="B115" s="4">
        <v>53710000</v>
      </c>
      <c r="Q115" s="4">
        <v>5923179575539050</v>
      </c>
    </row>
    <row r="116" spans="1:17" x14ac:dyDescent="0.3">
      <c r="A116" s="3" t="s">
        <v>118</v>
      </c>
      <c r="B116" s="4">
        <v>53410000</v>
      </c>
      <c r="N116" t="s">
        <v>592</v>
      </c>
      <c r="P116" t="str">
        <f>A4</f>
        <v>Bitcoin</v>
      </c>
    </row>
    <row r="117" spans="1:17" x14ac:dyDescent="0.3">
      <c r="A117" s="3" t="s">
        <v>120</v>
      </c>
      <c r="B117" s="4">
        <v>38940000</v>
      </c>
    </row>
    <row r="118" spans="1:17" x14ac:dyDescent="0.3">
      <c r="A118" s="3" t="s">
        <v>122</v>
      </c>
      <c r="B118" s="4">
        <v>38920000</v>
      </c>
      <c r="N118" t="s">
        <v>593</v>
      </c>
      <c r="P118">
        <f>B4</f>
        <v>62905.02</v>
      </c>
    </row>
    <row r="119" spans="1:17" x14ac:dyDescent="0.3">
      <c r="A119" s="3" t="s">
        <v>124</v>
      </c>
      <c r="B119" s="4">
        <v>38900000</v>
      </c>
    </row>
    <row r="120" spans="1:17" x14ac:dyDescent="0.3">
      <c r="A120" s="3" t="s">
        <v>126</v>
      </c>
      <c r="B120" s="4">
        <v>38890000</v>
      </c>
    </row>
    <row r="121" spans="1:17" x14ac:dyDescent="0.3">
      <c r="A121" s="3" t="s">
        <v>128</v>
      </c>
      <c r="B121" s="4">
        <v>38830000</v>
      </c>
    </row>
    <row r="122" spans="1:17" x14ac:dyDescent="0.3">
      <c r="A122" s="3" t="s">
        <v>130</v>
      </c>
      <c r="B122" s="4">
        <v>38730000</v>
      </c>
    </row>
    <row r="123" spans="1:17" x14ac:dyDescent="0.3">
      <c r="A123" s="3" t="s">
        <v>132</v>
      </c>
      <c r="B123" s="4">
        <v>38620000</v>
      </c>
    </row>
    <row r="124" spans="1:17" x14ac:dyDescent="0.3">
      <c r="A124" s="3" t="s">
        <v>134</v>
      </c>
      <c r="B124" s="4">
        <v>38620000</v>
      </c>
    </row>
    <row r="125" spans="1:17" x14ac:dyDescent="0.3">
      <c r="A125" s="3" t="s">
        <v>136</v>
      </c>
      <c r="B125" s="4">
        <v>38550000</v>
      </c>
    </row>
    <row r="126" spans="1:17" x14ac:dyDescent="0.3">
      <c r="A126" s="3" t="s">
        <v>138</v>
      </c>
      <c r="B126" s="4">
        <v>38460000</v>
      </c>
    </row>
    <row r="127" spans="1:17" x14ac:dyDescent="0.3">
      <c r="A127" s="3" t="s">
        <v>140</v>
      </c>
      <c r="B127" s="4">
        <v>38180000</v>
      </c>
    </row>
    <row r="128" spans="1:17" x14ac:dyDescent="0.3">
      <c r="A128" s="3" t="s">
        <v>142</v>
      </c>
      <c r="B128" s="4">
        <v>38100000</v>
      </c>
    </row>
    <row r="129" spans="1:2" x14ac:dyDescent="0.3">
      <c r="A129" s="3" t="s">
        <v>144</v>
      </c>
      <c r="B129" s="4">
        <v>37890000</v>
      </c>
    </row>
    <row r="130" spans="1:2" x14ac:dyDescent="0.3">
      <c r="A130" s="3" t="s">
        <v>146</v>
      </c>
      <c r="B130" s="4">
        <v>37840000</v>
      </c>
    </row>
    <row r="131" spans="1:2" x14ac:dyDescent="0.3">
      <c r="A131" s="3" t="s">
        <v>148</v>
      </c>
      <c r="B131" s="4">
        <v>37760000</v>
      </c>
    </row>
    <row r="132" spans="1:2" x14ac:dyDescent="0.3">
      <c r="A132" s="3" t="s">
        <v>154</v>
      </c>
      <c r="B132" s="4">
        <v>28590000</v>
      </c>
    </row>
    <row r="133" spans="1:2" x14ac:dyDescent="0.3">
      <c r="A133" s="3" t="s">
        <v>152</v>
      </c>
      <c r="B133" s="4">
        <v>28590000</v>
      </c>
    </row>
    <row r="134" spans="1:2" x14ac:dyDescent="0.3">
      <c r="A134" s="3" t="s">
        <v>156</v>
      </c>
      <c r="B134" s="4">
        <v>28580000</v>
      </c>
    </row>
    <row r="135" spans="1:2" x14ac:dyDescent="0.3">
      <c r="A135" s="3" t="s">
        <v>157</v>
      </c>
      <c r="B135" s="4">
        <v>28540000</v>
      </c>
    </row>
    <row r="136" spans="1:2" x14ac:dyDescent="0.3">
      <c r="A136" s="3" t="s">
        <v>150</v>
      </c>
      <c r="B136" s="4">
        <v>28430000</v>
      </c>
    </row>
    <row r="137" spans="1:2" x14ac:dyDescent="0.3">
      <c r="A137" s="3" t="s">
        <v>159</v>
      </c>
      <c r="B137" s="4">
        <v>28410000</v>
      </c>
    </row>
    <row r="138" spans="1:2" x14ac:dyDescent="0.3">
      <c r="A138" s="3" t="s">
        <v>161</v>
      </c>
      <c r="B138" s="4">
        <v>28350000</v>
      </c>
    </row>
    <row r="139" spans="1:2" x14ac:dyDescent="0.3">
      <c r="A139" s="3" t="s">
        <v>163</v>
      </c>
      <c r="B139" s="4">
        <v>28220000</v>
      </c>
    </row>
    <row r="140" spans="1:2" x14ac:dyDescent="0.3">
      <c r="A140" s="3" t="s">
        <v>165</v>
      </c>
      <c r="B140" s="4">
        <v>28210000</v>
      </c>
    </row>
    <row r="141" spans="1:2" x14ac:dyDescent="0.3">
      <c r="A141" s="3" t="s">
        <v>167</v>
      </c>
      <c r="B141" s="4">
        <v>28010000</v>
      </c>
    </row>
    <row r="142" spans="1:2" x14ac:dyDescent="0.3">
      <c r="A142" s="3" t="s">
        <v>169</v>
      </c>
      <c r="B142" s="4">
        <v>27990000</v>
      </c>
    </row>
    <row r="143" spans="1:2" x14ac:dyDescent="0.3">
      <c r="A143" s="3" t="s">
        <v>171</v>
      </c>
      <c r="B143" s="4">
        <v>27900000</v>
      </c>
    </row>
    <row r="144" spans="1:2" x14ac:dyDescent="0.3">
      <c r="A144" s="3" t="s">
        <v>173</v>
      </c>
      <c r="B144" s="4">
        <v>27890000</v>
      </c>
    </row>
    <row r="145" spans="1:2" x14ac:dyDescent="0.3">
      <c r="A145" s="3" t="s">
        <v>175</v>
      </c>
      <c r="B145" s="4">
        <v>27830000</v>
      </c>
    </row>
    <row r="146" spans="1:2" x14ac:dyDescent="0.3">
      <c r="A146" s="3" t="s">
        <v>177</v>
      </c>
      <c r="B146" s="4">
        <v>27810000</v>
      </c>
    </row>
    <row r="147" spans="1:2" x14ac:dyDescent="0.3">
      <c r="A147" s="3" t="s">
        <v>179</v>
      </c>
      <c r="B147" s="4">
        <v>20820000</v>
      </c>
    </row>
    <row r="148" spans="1:2" x14ac:dyDescent="0.3">
      <c r="A148" s="3" t="s">
        <v>181</v>
      </c>
      <c r="B148" s="4">
        <v>20630000</v>
      </c>
    </row>
    <row r="149" spans="1:2" x14ac:dyDescent="0.3">
      <c r="A149" s="3" t="s">
        <v>183</v>
      </c>
      <c r="B149" s="4">
        <v>20600000</v>
      </c>
    </row>
    <row r="150" spans="1:2" x14ac:dyDescent="0.3">
      <c r="A150" s="3" t="s">
        <v>184</v>
      </c>
      <c r="B150" s="4">
        <v>20580000</v>
      </c>
    </row>
    <row r="151" spans="1:2" x14ac:dyDescent="0.3">
      <c r="A151" s="3" t="s">
        <v>186</v>
      </c>
      <c r="B151" s="4">
        <v>20520000</v>
      </c>
    </row>
    <row r="152" spans="1:2" x14ac:dyDescent="0.3">
      <c r="A152" s="3" t="s">
        <v>188</v>
      </c>
      <c r="B152" s="4">
        <v>20490000</v>
      </c>
    </row>
    <row r="153" spans="1:2" x14ac:dyDescent="0.3">
      <c r="A153" s="3" t="s">
        <v>190</v>
      </c>
      <c r="B153" s="4">
        <v>20440000</v>
      </c>
    </row>
    <row r="154" spans="1:2" x14ac:dyDescent="0.3">
      <c r="A154" s="3" t="s">
        <v>192</v>
      </c>
      <c r="B154" s="4">
        <v>20380000</v>
      </c>
    </row>
    <row r="155" spans="1:2" x14ac:dyDescent="0.3">
      <c r="A155" s="3" t="s">
        <v>196</v>
      </c>
      <c r="B155" s="4">
        <v>20290000</v>
      </c>
    </row>
    <row r="156" spans="1:2" x14ac:dyDescent="0.3">
      <c r="A156" s="3" t="s">
        <v>194</v>
      </c>
      <c r="B156" s="4">
        <v>20290000</v>
      </c>
    </row>
    <row r="157" spans="1:2" x14ac:dyDescent="0.3">
      <c r="A157" s="3" t="s">
        <v>198</v>
      </c>
      <c r="B157" s="4">
        <v>20150000</v>
      </c>
    </row>
    <row r="158" spans="1:2" x14ac:dyDescent="0.3">
      <c r="A158" s="3" t="s">
        <v>200</v>
      </c>
      <c r="B158" s="4">
        <v>20110000</v>
      </c>
    </row>
    <row r="159" spans="1:2" x14ac:dyDescent="0.3">
      <c r="A159" s="3" t="s">
        <v>202</v>
      </c>
      <c r="B159" s="4">
        <v>20090000</v>
      </c>
    </row>
    <row r="160" spans="1:2" x14ac:dyDescent="0.3">
      <c r="A160" s="3" t="s">
        <v>204</v>
      </c>
      <c r="B160" s="4">
        <v>20060000</v>
      </c>
    </row>
    <row r="161" spans="1:2" x14ac:dyDescent="0.3">
      <c r="A161" s="3" t="s">
        <v>206</v>
      </c>
      <c r="B161" s="4">
        <v>20010000</v>
      </c>
    </row>
    <row r="162" spans="1:2" x14ac:dyDescent="0.3">
      <c r="A162" s="3" t="s">
        <v>208</v>
      </c>
      <c r="B162" s="4">
        <v>16010000</v>
      </c>
    </row>
    <row r="163" spans="1:2" x14ac:dyDescent="0.3">
      <c r="A163" s="3" t="s">
        <v>210</v>
      </c>
      <c r="B163" s="4">
        <v>15890000</v>
      </c>
    </row>
    <row r="164" spans="1:2" x14ac:dyDescent="0.3">
      <c r="A164" s="3" t="s">
        <v>211</v>
      </c>
      <c r="B164" s="4">
        <v>15880000</v>
      </c>
    </row>
    <row r="165" spans="1:2" x14ac:dyDescent="0.3">
      <c r="A165" s="3" t="s">
        <v>213</v>
      </c>
      <c r="B165" s="4">
        <v>15860000</v>
      </c>
    </row>
    <row r="166" spans="1:2" x14ac:dyDescent="0.3">
      <c r="A166" s="3" t="s">
        <v>215</v>
      </c>
      <c r="B166" s="4">
        <v>15840000</v>
      </c>
    </row>
    <row r="167" spans="1:2" x14ac:dyDescent="0.3">
      <c r="A167" s="3" t="s">
        <v>217</v>
      </c>
      <c r="B167" s="4">
        <v>15820000</v>
      </c>
    </row>
    <row r="168" spans="1:2" x14ac:dyDescent="0.3">
      <c r="A168" s="3" t="s">
        <v>219</v>
      </c>
      <c r="B168" s="4">
        <v>15800000</v>
      </c>
    </row>
    <row r="169" spans="1:2" x14ac:dyDescent="0.3">
      <c r="A169" s="3" t="s">
        <v>221</v>
      </c>
      <c r="B169" s="4">
        <v>15790000</v>
      </c>
    </row>
    <row r="170" spans="1:2" x14ac:dyDescent="0.3">
      <c r="A170" s="3" t="s">
        <v>223</v>
      </c>
      <c r="B170" s="4">
        <v>15660000</v>
      </c>
    </row>
    <row r="171" spans="1:2" x14ac:dyDescent="0.3">
      <c r="A171" s="3" t="s">
        <v>225</v>
      </c>
      <c r="B171" s="4">
        <v>15580000</v>
      </c>
    </row>
    <row r="172" spans="1:2" x14ac:dyDescent="0.3">
      <c r="A172" s="3" t="s">
        <v>226</v>
      </c>
      <c r="B172" s="4">
        <v>15570000</v>
      </c>
    </row>
    <row r="173" spans="1:2" x14ac:dyDescent="0.3">
      <c r="A173" s="3" t="s">
        <v>228</v>
      </c>
      <c r="B173" s="4">
        <v>15550000</v>
      </c>
    </row>
    <row r="174" spans="1:2" x14ac:dyDescent="0.3">
      <c r="A174" s="3" t="s">
        <v>230</v>
      </c>
      <c r="B174" s="4">
        <v>15540000</v>
      </c>
    </row>
    <row r="175" spans="1:2" x14ac:dyDescent="0.3">
      <c r="A175" s="3" t="s">
        <v>232</v>
      </c>
      <c r="B175" s="4">
        <v>15350000</v>
      </c>
    </row>
    <row r="176" spans="1:2" x14ac:dyDescent="0.3">
      <c r="A176" s="3" t="s">
        <v>234</v>
      </c>
      <c r="B176" s="4">
        <v>15300000</v>
      </c>
    </row>
    <row r="177" spans="1:2" x14ac:dyDescent="0.3">
      <c r="A177" s="3" t="s">
        <v>236</v>
      </c>
      <c r="B177" s="4">
        <v>12160000</v>
      </c>
    </row>
    <row r="178" spans="1:2" x14ac:dyDescent="0.3">
      <c r="A178" s="3" t="s">
        <v>238</v>
      </c>
      <c r="B178" s="4">
        <v>12150000</v>
      </c>
    </row>
    <row r="179" spans="1:2" x14ac:dyDescent="0.3">
      <c r="A179" s="3" t="s">
        <v>240</v>
      </c>
      <c r="B179" s="4">
        <v>12090000</v>
      </c>
    </row>
    <row r="180" spans="1:2" x14ac:dyDescent="0.3">
      <c r="A180" s="3" t="s">
        <v>242</v>
      </c>
      <c r="B180" s="4">
        <v>12050000</v>
      </c>
    </row>
    <row r="181" spans="1:2" x14ac:dyDescent="0.3">
      <c r="A181" s="3" t="s">
        <v>244</v>
      </c>
      <c r="B181" s="4">
        <v>12030000</v>
      </c>
    </row>
    <row r="182" spans="1:2" x14ac:dyDescent="0.3">
      <c r="A182" s="3" t="s">
        <v>246</v>
      </c>
      <c r="B182" s="4">
        <v>12010000</v>
      </c>
    </row>
    <row r="183" spans="1:2" x14ac:dyDescent="0.3">
      <c r="A183" s="3" t="s">
        <v>248</v>
      </c>
      <c r="B183" s="4">
        <v>11960000</v>
      </c>
    </row>
    <row r="184" spans="1:2" x14ac:dyDescent="0.3">
      <c r="A184" s="3" t="s">
        <v>250</v>
      </c>
      <c r="B184" s="4">
        <v>11960000</v>
      </c>
    </row>
    <row r="185" spans="1:2" x14ac:dyDescent="0.3">
      <c r="A185" s="3" t="s">
        <v>251</v>
      </c>
      <c r="B185" s="4">
        <v>11940000</v>
      </c>
    </row>
    <row r="186" spans="1:2" x14ac:dyDescent="0.3">
      <c r="A186" s="3" t="s">
        <v>253</v>
      </c>
      <c r="B186" s="4">
        <v>11930000</v>
      </c>
    </row>
    <row r="187" spans="1:2" x14ac:dyDescent="0.3">
      <c r="A187" s="3" t="s">
        <v>255</v>
      </c>
      <c r="B187" s="4">
        <v>11860000</v>
      </c>
    </row>
    <row r="188" spans="1:2" x14ac:dyDescent="0.3">
      <c r="A188" s="3" t="s">
        <v>257</v>
      </c>
      <c r="B188" s="4">
        <v>11820000</v>
      </c>
    </row>
    <row r="189" spans="1:2" x14ac:dyDescent="0.3">
      <c r="A189" s="3" t="s">
        <v>261</v>
      </c>
      <c r="B189" s="4">
        <v>11780000</v>
      </c>
    </row>
    <row r="190" spans="1:2" x14ac:dyDescent="0.3">
      <c r="A190" s="3" t="s">
        <v>259</v>
      </c>
      <c r="B190" s="4">
        <v>11780000</v>
      </c>
    </row>
    <row r="191" spans="1:2" x14ac:dyDescent="0.3">
      <c r="A191" s="3" t="s">
        <v>262</v>
      </c>
      <c r="B191" s="4">
        <v>11760000</v>
      </c>
    </row>
    <row r="192" spans="1:2" x14ac:dyDescent="0.3">
      <c r="A192" s="3" t="s">
        <v>264</v>
      </c>
      <c r="B192" s="4">
        <v>9550000</v>
      </c>
    </row>
    <row r="193" spans="1:2" x14ac:dyDescent="0.3">
      <c r="A193" s="3" t="s">
        <v>266</v>
      </c>
      <c r="B193" s="4">
        <v>9430000</v>
      </c>
    </row>
    <row r="194" spans="1:2" x14ac:dyDescent="0.3">
      <c r="A194" s="3" t="s">
        <v>268</v>
      </c>
      <c r="B194" s="4">
        <v>9400000</v>
      </c>
    </row>
    <row r="195" spans="1:2" x14ac:dyDescent="0.3">
      <c r="A195" s="3" t="s">
        <v>270</v>
      </c>
      <c r="B195" s="4">
        <v>9340000</v>
      </c>
    </row>
    <row r="196" spans="1:2" x14ac:dyDescent="0.3">
      <c r="A196" s="3" t="s">
        <v>272</v>
      </c>
      <c r="B196" s="4">
        <v>9290000</v>
      </c>
    </row>
    <row r="197" spans="1:2" x14ac:dyDescent="0.3">
      <c r="A197" s="3" t="s">
        <v>274</v>
      </c>
      <c r="B197" s="4">
        <v>9260000</v>
      </c>
    </row>
    <row r="198" spans="1:2" x14ac:dyDescent="0.3">
      <c r="A198" s="3" t="s">
        <v>276</v>
      </c>
      <c r="B198" s="4">
        <v>9210000</v>
      </c>
    </row>
    <row r="199" spans="1:2" x14ac:dyDescent="0.3">
      <c r="A199" s="3" t="s">
        <v>280</v>
      </c>
      <c r="B199" s="4">
        <v>9200000</v>
      </c>
    </row>
    <row r="200" spans="1:2" x14ac:dyDescent="0.3">
      <c r="A200" s="3" t="s">
        <v>278</v>
      </c>
      <c r="B200" s="4">
        <v>9200000</v>
      </c>
    </row>
    <row r="201" spans="1:2" x14ac:dyDescent="0.3">
      <c r="A201" s="3" t="s">
        <v>282</v>
      </c>
      <c r="B201" s="4">
        <v>9180000</v>
      </c>
    </row>
    <row r="202" spans="1:2" x14ac:dyDescent="0.3">
      <c r="A202" s="3" t="s">
        <v>288</v>
      </c>
      <c r="B202" s="4">
        <v>9180000</v>
      </c>
    </row>
    <row r="203" spans="1:2" x14ac:dyDescent="0.3">
      <c r="A203" s="3" t="s">
        <v>284</v>
      </c>
      <c r="B203" s="4">
        <v>9170000</v>
      </c>
    </row>
    <row r="204" spans="1:2" x14ac:dyDescent="0.3">
      <c r="A204" s="3" t="s">
        <v>286</v>
      </c>
      <c r="B204" s="4">
        <v>9170000</v>
      </c>
    </row>
    <row r="205" spans="1:2" x14ac:dyDescent="0.3">
      <c r="A205" s="3" t="s">
        <v>292</v>
      </c>
      <c r="B205" s="4">
        <v>9150000</v>
      </c>
    </row>
    <row r="206" spans="1:2" x14ac:dyDescent="0.3">
      <c r="A206" s="3" t="s">
        <v>290</v>
      </c>
      <c r="B206" s="4">
        <v>9150000</v>
      </c>
    </row>
    <row r="207" spans="1:2" x14ac:dyDescent="0.3">
      <c r="A207" s="3" t="s">
        <v>294</v>
      </c>
      <c r="B207" s="4">
        <v>7420000</v>
      </c>
    </row>
    <row r="208" spans="1:2" x14ac:dyDescent="0.3">
      <c r="A208" s="3" t="s">
        <v>296</v>
      </c>
      <c r="B208" s="4">
        <v>7390000</v>
      </c>
    </row>
    <row r="209" spans="1:2" x14ac:dyDescent="0.3">
      <c r="A209" s="3" t="s">
        <v>298</v>
      </c>
      <c r="B209" s="4">
        <v>7380000</v>
      </c>
    </row>
    <row r="210" spans="1:2" x14ac:dyDescent="0.3">
      <c r="A210" s="3" t="s">
        <v>302</v>
      </c>
      <c r="B210" s="4">
        <v>7370000</v>
      </c>
    </row>
    <row r="211" spans="1:2" x14ac:dyDescent="0.3">
      <c r="A211" s="3" t="s">
        <v>300</v>
      </c>
      <c r="B211" s="4">
        <v>7370000</v>
      </c>
    </row>
    <row r="212" spans="1:2" x14ac:dyDescent="0.3">
      <c r="A212" s="3" t="s">
        <v>304</v>
      </c>
      <c r="B212" s="4">
        <v>7340000</v>
      </c>
    </row>
    <row r="213" spans="1:2" x14ac:dyDescent="0.3">
      <c r="A213" s="3" t="s">
        <v>305</v>
      </c>
      <c r="B213" s="4">
        <v>7250000</v>
      </c>
    </row>
    <row r="214" spans="1:2" x14ac:dyDescent="0.3">
      <c r="A214" s="3" t="s">
        <v>307</v>
      </c>
      <c r="B214" s="4">
        <v>7240000</v>
      </c>
    </row>
    <row r="215" spans="1:2" x14ac:dyDescent="0.3">
      <c r="A215" s="3" t="s">
        <v>309</v>
      </c>
      <c r="B215" s="4">
        <v>7230000</v>
      </c>
    </row>
    <row r="216" spans="1:2" x14ac:dyDescent="0.3">
      <c r="A216" s="3" t="s">
        <v>311</v>
      </c>
      <c r="B216" s="4">
        <v>7230000</v>
      </c>
    </row>
    <row r="217" spans="1:2" x14ac:dyDescent="0.3">
      <c r="A217" s="3" t="s">
        <v>313</v>
      </c>
      <c r="B217" s="4">
        <v>7190000</v>
      </c>
    </row>
    <row r="218" spans="1:2" x14ac:dyDescent="0.3">
      <c r="A218" s="3" t="s">
        <v>315</v>
      </c>
      <c r="B218" s="4">
        <v>7130000</v>
      </c>
    </row>
    <row r="219" spans="1:2" x14ac:dyDescent="0.3">
      <c r="A219" s="3" t="s">
        <v>317</v>
      </c>
      <c r="B219" s="4">
        <v>7080000</v>
      </c>
    </row>
    <row r="220" spans="1:2" x14ac:dyDescent="0.3">
      <c r="A220" s="3" t="s">
        <v>319</v>
      </c>
      <c r="B220" s="4">
        <v>7080000</v>
      </c>
    </row>
    <row r="221" spans="1:2" x14ac:dyDescent="0.3">
      <c r="A221" s="3" t="s">
        <v>321</v>
      </c>
      <c r="B221" s="4">
        <v>7060000</v>
      </c>
    </row>
    <row r="222" spans="1:2" x14ac:dyDescent="0.3">
      <c r="A222" s="3" t="s">
        <v>7</v>
      </c>
      <c r="B222" s="4">
        <v>6050000</v>
      </c>
    </row>
    <row r="223" spans="1:2" x14ac:dyDescent="0.3">
      <c r="A223" s="3" t="s">
        <v>323</v>
      </c>
      <c r="B223" s="4">
        <v>5710000</v>
      </c>
    </row>
    <row r="224" spans="1:2" x14ac:dyDescent="0.3">
      <c r="A224" s="3" t="s">
        <v>325</v>
      </c>
      <c r="B224" s="4">
        <v>5710000</v>
      </c>
    </row>
    <row r="225" spans="1:2" x14ac:dyDescent="0.3">
      <c r="A225" s="3" t="s">
        <v>327</v>
      </c>
      <c r="B225" s="4">
        <v>5710000</v>
      </c>
    </row>
    <row r="226" spans="1:2" x14ac:dyDescent="0.3">
      <c r="A226" s="3" t="s">
        <v>329</v>
      </c>
      <c r="B226" s="4">
        <v>5700000</v>
      </c>
    </row>
    <row r="227" spans="1:2" x14ac:dyDescent="0.3">
      <c r="A227" s="3" t="s">
        <v>332</v>
      </c>
      <c r="B227" s="4">
        <v>5680000</v>
      </c>
    </row>
    <row r="228" spans="1:2" x14ac:dyDescent="0.3">
      <c r="A228" s="3" t="s">
        <v>330</v>
      </c>
      <c r="B228" s="4">
        <v>5680000</v>
      </c>
    </row>
    <row r="229" spans="1:2" x14ac:dyDescent="0.3">
      <c r="A229" s="3" t="s">
        <v>336</v>
      </c>
      <c r="B229" s="4">
        <v>5670000</v>
      </c>
    </row>
    <row r="230" spans="1:2" x14ac:dyDescent="0.3">
      <c r="A230" s="3" t="s">
        <v>334</v>
      </c>
      <c r="B230" s="4">
        <v>5670000</v>
      </c>
    </row>
    <row r="231" spans="1:2" x14ac:dyDescent="0.3">
      <c r="A231" s="3" t="s">
        <v>340</v>
      </c>
      <c r="B231" s="4">
        <v>5660000</v>
      </c>
    </row>
    <row r="232" spans="1:2" x14ac:dyDescent="0.3">
      <c r="A232" s="3" t="s">
        <v>338</v>
      </c>
      <c r="B232" s="4">
        <v>5660000</v>
      </c>
    </row>
    <row r="233" spans="1:2" x14ac:dyDescent="0.3">
      <c r="A233" s="3" t="s">
        <v>342</v>
      </c>
      <c r="B233" s="4">
        <v>5630000</v>
      </c>
    </row>
    <row r="234" spans="1:2" x14ac:dyDescent="0.3">
      <c r="A234" s="3" t="s">
        <v>344</v>
      </c>
      <c r="B234" s="4">
        <v>5610000</v>
      </c>
    </row>
    <row r="235" spans="1:2" x14ac:dyDescent="0.3">
      <c r="A235" s="3" t="s">
        <v>346</v>
      </c>
      <c r="B235" s="4">
        <v>5600000</v>
      </c>
    </row>
    <row r="236" spans="1:2" x14ac:dyDescent="0.3">
      <c r="A236" s="3" t="s">
        <v>348</v>
      </c>
      <c r="B236" s="4">
        <v>5590000</v>
      </c>
    </row>
    <row r="237" spans="1:2" x14ac:dyDescent="0.3">
      <c r="A237" s="3" t="s">
        <v>350</v>
      </c>
      <c r="B237" s="4">
        <v>5570000</v>
      </c>
    </row>
    <row r="238" spans="1:2" x14ac:dyDescent="0.3">
      <c r="A238" s="3" t="s">
        <v>352</v>
      </c>
      <c r="B238" s="4">
        <v>4380000</v>
      </c>
    </row>
    <row r="239" spans="1:2" x14ac:dyDescent="0.3">
      <c r="A239" s="3" t="s">
        <v>354</v>
      </c>
      <c r="B239" s="4">
        <v>4350000</v>
      </c>
    </row>
    <row r="240" spans="1:2" x14ac:dyDescent="0.3">
      <c r="A240" s="3" t="s">
        <v>356</v>
      </c>
      <c r="B240" s="4">
        <v>4350000</v>
      </c>
    </row>
    <row r="241" spans="1:2" x14ac:dyDescent="0.3">
      <c r="A241" s="3" t="s">
        <v>358</v>
      </c>
      <c r="B241" s="4">
        <v>4350000</v>
      </c>
    </row>
    <row r="242" spans="1:2" x14ac:dyDescent="0.3">
      <c r="A242" s="3" t="s">
        <v>360</v>
      </c>
      <c r="B242" s="4">
        <v>4320000</v>
      </c>
    </row>
    <row r="243" spans="1:2" x14ac:dyDescent="0.3">
      <c r="A243" s="3" t="s">
        <v>362</v>
      </c>
      <c r="B243" s="4">
        <v>4310000</v>
      </c>
    </row>
    <row r="244" spans="1:2" x14ac:dyDescent="0.3">
      <c r="A244" s="3" t="s">
        <v>364</v>
      </c>
      <c r="B244" s="4">
        <v>4290000</v>
      </c>
    </row>
    <row r="245" spans="1:2" x14ac:dyDescent="0.3">
      <c r="A245" s="3" t="s">
        <v>366</v>
      </c>
      <c r="B245" s="4">
        <v>4280000</v>
      </c>
    </row>
    <row r="246" spans="1:2" x14ac:dyDescent="0.3">
      <c r="A246" s="3" t="s">
        <v>368</v>
      </c>
      <c r="B246" s="4">
        <v>4270000</v>
      </c>
    </row>
    <row r="247" spans="1:2" x14ac:dyDescent="0.3">
      <c r="A247" s="3" t="s">
        <v>370</v>
      </c>
      <c r="B247" s="4">
        <v>4260000</v>
      </c>
    </row>
    <row r="248" spans="1:2" x14ac:dyDescent="0.3">
      <c r="A248" s="3" t="s">
        <v>371</v>
      </c>
      <c r="B248" s="4">
        <v>4230000</v>
      </c>
    </row>
    <row r="249" spans="1:2" x14ac:dyDescent="0.3">
      <c r="A249" s="3" t="s">
        <v>372</v>
      </c>
      <c r="B249" s="4">
        <v>4220000</v>
      </c>
    </row>
    <row r="250" spans="1:2" x14ac:dyDescent="0.3">
      <c r="A250" s="3" t="s">
        <v>374</v>
      </c>
      <c r="B250" s="4">
        <v>4210000</v>
      </c>
    </row>
    <row r="251" spans="1:2" x14ac:dyDescent="0.3">
      <c r="A251" s="3" t="s">
        <v>376</v>
      </c>
      <c r="B251" s="4">
        <v>4200000</v>
      </c>
    </row>
    <row r="252" spans="1:2" x14ac:dyDescent="0.3">
      <c r="A252" s="3" t="s">
        <v>378</v>
      </c>
      <c r="B252" s="4">
        <v>4200000</v>
      </c>
    </row>
    <row r="253" spans="1:2" x14ac:dyDescent="0.3">
      <c r="A253" s="3" t="s">
        <v>405</v>
      </c>
      <c r="B253" s="4">
        <v>3360000</v>
      </c>
    </row>
    <row r="254" spans="1:2" x14ac:dyDescent="0.3">
      <c r="A254" s="3" t="s">
        <v>382</v>
      </c>
      <c r="B254" s="4">
        <v>3310000</v>
      </c>
    </row>
    <row r="255" spans="1:2" x14ac:dyDescent="0.3">
      <c r="A255" s="3" t="s">
        <v>384</v>
      </c>
      <c r="B255" s="4">
        <v>3300000</v>
      </c>
    </row>
    <row r="256" spans="1:2" x14ac:dyDescent="0.3">
      <c r="A256" s="3" t="s">
        <v>386</v>
      </c>
      <c r="B256" s="4">
        <v>3300000</v>
      </c>
    </row>
    <row r="257" spans="1:2" x14ac:dyDescent="0.3">
      <c r="A257" s="3" t="s">
        <v>390</v>
      </c>
      <c r="B257" s="4">
        <v>3290000</v>
      </c>
    </row>
    <row r="258" spans="1:2" x14ac:dyDescent="0.3">
      <c r="A258" s="3" t="s">
        <v>394</v>
      </c>
      <c r="B258" s="4">
        <v>3290000</v>
      </c>
    </row>
    <row r="259" spans="1:2" x14ac:dyDescent="0.3">
      <c r="A259" s="3" t="s">
        <v>392</v>
      </c>
      <c r="B259" s="4">
        <v>3290000</v>
      </c>
    </row>
    <row r="260" spans="1:2" x14ac:dyDescent="0.3">
      <c r="A260" s="3" t="s">
        <v>388</v>
      </c>
      <c r="B260" s="4">
        <v>3290000</v>
      </c>
    </row>
    <row r="261" spans="1:2" x14ac:dyDescent="0.3">
      <c r="A261" s="3" t="s">
        <v>380</v>
      </c>
      <c r="B261" s="4">
        <v>3280000</v>
      </c>
    </row>
    <row r="262" spans="1:2" x14ac:dyDescent="0.3">
      <c r="A262" s="3" t="s">
        <v>400</v>
      </c>
      <c r="B262" s="4">
        <v>3280000</v>
      </c>
    </row>
    <row r="263" spans="1:2" x14ac:dyDescent="0.3">
      <c r="A263" s="3" t="s">
        <v>401</v>
      </c>
      <c r="B263" s="4">
        <v>3280000</v>
      </c>
    </row>
    <row r="264" spans="1:2" x14ac:dyDescent="0.3">
      <c r="A264" s="3" t="s">
        <v>396</v>
      </c>
      <c r="B264" s="4">
        <v>3280000</v>
      </c>
    </row>
    <row r="265" spans="1:2" x14ac:dyDescent="0.3">
      <c r="A265" s="3" t="s">
        <v>403</v>
      </c>
      <c r="B265" s="4">
        <v>3280000</v>
      </c>
    </row>
    <row r="266" spans="1:2" x14ac:dyDescent="0.3">
      <c r="A266" s="3" t="s">
        <v>398</v>
      </c>
      <c r="B266" s="4">
        <v>3280000</v>
      </c>
    </row>
    <row r="267" spans="1:2" x14ac:dyDescent="0.3">
      <c r="A267" s="3" t="s">
        <v>407</v>
      </c>
      <c r="B267" s="4">
        <v>3270000</v>
      </c>
    </row>
    <row r="268" spans="1:2" x14ac:dyDescent="0.3">
      <c r="A268" s="3" t="s">
        <v>409</v>
      </c>
      <c r="B268" s="4">
        <v>2640000</v>
      </c>
    </row>
    <row r="269" spans="1:2" x14ac:dyDescent="0.3">
      <c r="A269" s="3" t="s">
        <v>413</v>
      </c>
      <c r="B269" s="4">
        <v>2620000</v>
      </c>
    </row>
    <row r="270" spans="1:2" x14ac:dyDescent="0.3">
      <c r="A270" s="3" t="s">
        <v>411</v>
      </c>
      <c r="B270" s="4">
        <v>2620000</v>
      </c>
    </row>
    <row r="271" spans="1:2" x14ac:dyDescent="0.3">
      <c r="A271" s="3" t="s">
        <v>414</v>
      </c>
      <c r="B271" s="4">
        <v>2610000</v>
      </c>
    </row>
    <row r="272" spans="1:2" x14ac:dyDescent="0.3">
      <c r="A272" s="3" t="s">
        <v>416</v>
      </c>
      <c r="B272" s="4">
        <v>2600000</v>
      </c>
    </row>
    <row r="273" spans="1:2" x14ac:dyDescent="0.3">
      <c r="A273" s="3" t="s">
        <v>418</v>
      </c>
      <c r="B273" s="4">
        <v>2590000</v>
      </c>
    </row>
    <row r="274" spans="1:2" x14ac:dyDescent="0.3">
      <c r="A274" s="3" t="s">
        <v>420</v>
      </c>
      <c r="B274" s="4">
        <v>2580000</v>
      </c>
    </row>
    <row r="275" spans="1:2" x14ac:dyDescent="0.3">
      <c r="A275" s="3" t="s">
        <v>422</v>
      </c>
      <c r="B275" s="4">
        <v>2570000</v>
      </c>
    </row>
    <row r="276" spans="1:2" x14ac:dyDescent="0.3">
      <c r="A276" s="3" t="s">
        <v>423</v>
      </c>
      <c r="B276" s="4">
        <v>2570000</v>
      </c>
    </row>
    <row r="277" spans="1:2" x14ac:dyDescent="0.3">
      <c r="A277" s="3" t="s">
        <v>424</v>
      </c>
      <c r="B277" s="4">
        <v>2560000</v>
      </c>
    </row>
    <row r="278" spans="1:2" x14ac:dyDescent="0.3">
      <c r="A278" s="3" t="s">
        <v>425</v>
      </c>
      <c r="B278" s="4">
        <v>2550000</v>
      </c>
    </row>
    <row r="279" spans="1:2" x14ac:dyDescent="0.3">
      <c r="A279" s="3" t="s">
        <v>429</v>
      </c>
      <c r="B279" s="4">
        <v>2540000</v>
      </c>
    </row>
    <row r="280" spans="1:2" x14ac:dyDescent="0.3">
      <c r="A280" s="3" t="s">
        <v>433</v>
      </c>
      <c r="B280" s="4">
        <v>2540000</v>
      </c>
    </row>
    <row r="281" spans="1:2" x14ac:dyDescent="0.3">
      <c r="A281" s="3" t="s">
        <v>427</v>
      </c>
      <c r="B281" s="4">
        <v>2540000</v>
      </c>
    </row>
    <row r="282" spans="1:2" x14ac:dyDescent="0.3">
      <c r="A282" s="3" t="s">
        <v>431</v>
      </c>
      <c r="B282" s="4">
        <v>2540000</v>
      </c>
    </row>
    <row r="283" spans="1:2" x14ac:dyDescent="0.3">
      <c r="A283" s="3" t="s">
        <v>437</v>
      </c>
      <c r="B283" s="4">
        <v>2040000</v>
      </c>
    </row>
    <row r="284" spans="1:2" x14ac:dyDescent="0.3">
      <c r="A284" s="3" t="s">
        <v>439</v>
      </c>
      <c r="B284" s="4">
        <v>2040000</v>
      </c>
    </row>
    <row r="285" spans="1:2" x14ac:dyDescent="0.3">
      <c r="A285" s="3" t="s">
        <v>435</v>
      </c>
      <c r="B285" s="4">
        <v>2040000</v>
      </c>
    </row>
    <row r="286" spans="1:2" x14ac:dyDescent="0.3">
      <c r="A286" s="3" t="s">
        <v>443</v>
      </c>
      <c r="B286" s="4">
        <v>2030000</v>
      </c>
    </row>
    <row r="287" spans="1:2" x14ac:dyDescent="0.3">
      <c r="A287" s="3" t="s">
        <v>445</v>
      </c>
      <c r="B287" s="4">
        <v>2030000</v>
      </c>
    </row>
    <row r="288" spans="1:2" x14ac:dyDescent="0.3">
      <c r="A288" s="3" t="s">
        <v>441</v>
      </c>
      <c r="B288" s="4">
        <v>2030000</v>
      </c>
    </row>
    <row r="289" spans="1:2" x14ac:dyDescent="0.3">
      <c r="A289" s="3" t="s">
        <v>449</v>
      </c>
      <c r="B289" s="4">
        <v>2020000</v>
      </c>
    </row>
    <row r="290" spans="1:2" x14ac:dyDescent="0.3">
      <c r="A290" s="3" t="s">
        <v>447</v>
      </c>
      <c r="B290" s="4">
        <v>2020000</v>
      </c>
    </row>
    <row r="291" spans="1:2" x14ac:dyDescent="0.3">
      <c r="A291" s="3" t="s">
        <v>451</v>
      </c>
      <c r="B291" s="4">
        <v>2010000</v>
      </c>
    </row>
    <row r="292" spans="1:2" x14ac:dyDescent="0.3">
      <c r="A292" s="3" t="s">
        <v>453</v>
      </c>
      <c r="B292" s="4">
        <v>2000000</v>
      </c>
    </row>
    <row r="293" spans="1:2" x14ac:dyDescent="0.3">
      <c r="A293" s="3" t="s">
        <v>455</v>
      </c>
      <c r="B293" s="4">
        <v>2000000</v>
      </c>
    </row>
    <row r="294" spans="1:2" x14ac:dyDescent="0.3">
      <c r="A294" s="3" t="s">
        <v>458</v>
      </c>
      <c r="B294" s="4">
        <v>1990000</v>
      </c>
    </row>
    <row r="295" spans="1:2" x14ac:dyDescent="0.3">
      <c r="A295" s="3" t="s">
        <v>456</v>
      </c>
      <c r="B295" s="4">
        <v>1990000</v>
      </c>
    </row>
    <row r="296" spans="1:2" x14ac:dyDescent="0.3">
      <c r="A296" s="3" t="s">
        <v>462</v>
      </c>
      <c r="B296" s="4">
        <v>1980000</v>
      </c>
    </row>
    <row r="297" spans="1:2" x14ac:dyDescent="0.3">
      <c r="A297" s="3" t="s">
        <v>460</v>
      </c>
      <c r="B297" s="4">
        <v>1980000</v>
      </c>
    </row>
    <row r="298" spans="1:2" x14ac:dyDescent="0.3">
      <c r="A298" s="3" t="s">
        <v>463</v>
      </c>
      <c r="B298" s="4">
        <v>1620000</v>
      </c>
    </row>
    <row r="299" spans="1:2" x14ac:dyDescent="0.3">
      <c r="A299" s="3" t="s">
        <v>465</v>
      </c>
      <c r="B299" s="4">
        <v>1610000</v>
      </c>
    </row>
    <row r="300" spans="1:2" x14ac:dyDescent="0.3">
      <c r="A300" s="3" t="s">
        <v>467</v>
      </c>
      <c r="B300" s="4">
        <v>1600000</v>
      </c>
    </row>
    <row r="301" spans="1:2" x14ac:dyDescent="0.3">
      <c r="A301" s="3" t="s">
        <v>471</v>
      </c>
      <c r="B301" s="4">
        <v>1600000</v>
      </c>
    </row>
    <row r="302" spans="1:2" x14ac:dyDescent="0.3">
      <c r="A302" s="3" t="s">
        <v>469</v>
      </c>
      <c r="B302" s="4">
        <v>1600000</v>
      </c>
    </row>
    <row r="303" spans="1:2" x14ac:dyDescent="0.3">
      <c r="A303" s="3" t="s">
        <v>473</v>
      </c>
      <c r="B303" s="4">
        <v>1590000</v>
      </c>
    </row>
    <row r="304" spans="1:2" x14ac:dyDescent="0.3">
      <c r="A304" s="3" t="s">
        <v>475</v>
      </c>
      <c r="B304" s="4">
        <v>1590000</v>
      </c>
    </row>
    <row r="305" spans="1:2" x14ac:dyDescent="0.3">
      <c r="A305" s="3" t="s">
        <v>479</v>
      </c>
      <c r="B305" s="4">
        <v>1590000</v>
      </c>
    </row>
    <row r="306" spans="1:2" x14ac:dyDescent="0.3">
      <c r="A306" s="3" t="s">
        <v>481</v>
      </c>
      <c r="B306" s="4">
        <v>1580000</v>
      </c>
    </row>
    <row r="307" spans="1:2" x14ac:dyDescent="0.3">
      <c r="A307" s="3" t="s">
        <v>477</v>
      </c>
      <c r="B307" s="4">
        <v>1580000</v>
      </c>
    </row>
    <row r="308" spans="1:2" x14ac:dyDescent="0.3">
      <c r="A308" s="3" t="s">
        <v>483</v>
      </c>
      <c r="B308" s="4">
        <v>1580000</v>
      </c>
    </row>
    <row r="309" spans="1:2" x14ac:dyDescent="0.3">
      <c r="A309" s="3" t="s">
        <v>487</v>
      </c>
      <c r="B309" s="4">
        <v>1570000</v>
      </c>
    </row>
    <row r="310" spans="1:2" x14ac:dyDescent="0.3">
      <c r="A310" s="3" t="s">
        <v>485</v>
      </c>
      <c r="B310" s="4">
        <v>1570000</v>
      </c>
    </row>
    <row r="311" spans="1:2" x14ac:dyDescent="0.3">
      <c r="A311" s="3" t="s">
        <v>484</v>
      </c>
      <c r="B311" s="4">
        <v>1570000</v>
      </c>
    </row>
    <row r="312" spans="1:2" x14ac:dyDescent="0.3">
      <c r="A312" s="3" t="s">
        <v>489</v>
      </c>
      <c r="B312" s="4">
        <v>1530000</v>
      </c>
    </row>
    <row r="313" spans="1:2" x14ac:dyDescent="0.3">
      <c r="A313" s="3" t="s">
        <v>491</v>
      </c>
      <c r="B313" s="4">
        <v>1300000</v>
      </c>
    </row>
    <row r="314" spans="1:2" x14ac:dyDescent="0.3">
      <c r="A314" s="3" t="s">
        <v>497</v>
      </c>
      <c r="B314" s="4">
        <v>1290000</v>
      </c>
    </row>
    <row r="315" spans="1:2" x14ac:dyDescent="0.3">
      <c r="A315" s="3" t="s">
        <v>493</v>
      </c>
      <c r="B315" s="4">
        <v>1290000</v>
      </c>
    </row>
    <row r="316" spans="1:2" x14ac:dyDescent="0.3">
      <c r="A316" s="3" t="s">
        <v>495</v>
      </c>
      <c r="B316" s="4">
        <v>1290000</v>
      </c>
    </row>
    <row r="317" spans="1:2" x14ac:dyDescent="0.3">
      <c r="A317" s="3" t="s">
        <v>499</v>
      </c>
      <c r="B317" s="4">
        <v>1280000</v>
      </c>
    </row>
    <row r="318" spans="1:2" x14ac:dyDescent="0.3">
      <c r="A318" s="3" t="s">
        <v>501</v>
      </c>
      <c r="B318" s="4">
        <v>1280000</v>
      </c>
    </row>
    <row r="319" spans="1:2" x14ac:dyDescent="0.3">
      <c r="A319" s="3" t="s">
        <v>510</v>
      </c>
      <c r="B319" s="4">
        <v>1270000</v>
      </c>
    </row>
    <row r="320" spans="1:2" x14ac:dyDescent="0.3">
      <c r="A320" s="3" t="s">
        <v>502</v>
      </c>
      <c r="B320" s="4">
        <v>1270000</v>
      </c>
    </row>
    <row r="321" spans="1:2" x14ac:dyDescent="0.3">
      <c r="A321" s="3" t="s">
        <v>508</v>
      </c>
      <c r="B321" s="4">
        <v>1270000</v>
      </c>
    </row>
    <row r="322" spans="1:2" x14ac:dyDescent="0.3">
      <c r="A322" s="3" t="s">
        <v>513</v>
      </c>
      <c r="B322" s="4">
        <v>1270000</v>
      </c>
    </row>
    <row r="323" spans="1:2" x14ac:dyDescent="0.3">
      <c r="A323" s="3" t="s">
        <v>504</v>
      </c>
      <c r="B323" s="4">
        <v>1270000</v>
      </c>
    </row>
    <row r="324" spans="1:2" x14ac:dyDescent="0.3">
      <c r="A324" s="3" t="s">
        <v>512</v>
      </c>
      <c r="B324" s="4">
        <v>1270000</v>
      </c>
    </row>
    <row r="325" spans="1:2" x14ac:dyDescent="0.3">
      <c r="A325" s="3" t="s">
        <v>506</v>
      </c>
      <c r="B325" s="4">
        <v>1270000</v>
      </c>
    </row>
    <row r="326" spans="1:2" x14ac:dyDescent="0.3">
      <c r="A326" s="3" t="s">
        <v>517</v>
      </c>
      <c r="B326" s="4">
        <v>1260000</v>
      </c>
    </row>
    <row r="327" spans="1:2" x14ac:dyDescent="0.3">
      <c r="A327" s="3" t="s">
        <v>515</v>
      </c>
      <c r="B327" s="4">
        <v>1260000</v>
      </c>
    </row>
    <row r="328" spans="1:2" x14ac:dyDescent="0.3">
      <c r="A328" s="3" t="s">
        <v>521</v>
      </c>
      <c r="B328" s="4">
        <v>1060000</v>
      </c>
    </row>
    <row r="329" spans="1:2" x14ac:dyDescent="0.3">
      <c r="A329" s="3" t="s">
        <v>519</v>
      </c>
      <c r="B329" s="4">
        <v>1060000</v>
      </c>
    </row>
    <row r="330" spans="1:2" x14ac:dyDescent="0.3">
      <c r="A330" s="3" t="s">
        <v>528</v>
      </c>
      <c r="B330" s="4">
        <v>1050000</v>
      </c>
    </row>
    <row r="331" spans="1:2" x14ac:dyDescent="0.3">
      <c r="A331" s="3" t="s">
        <v>530</v>
      </c>
      <c r="B331" s="4">
        <v>1050000</v>
      </c>
    </row>
    <row r="332" spans="1:2" x14ac:dyDescent="0.3">
      <c r="A332" s="3" t="s">
        <v>526</v>
      </c>
      <c r="B332" s="4">
        <v>1050000</v>
      </c>
    </row>
    <row r="333" spans="1:2" x14ac:dyDescent="0.3">
      <c r="A333" s="3" t="s">
        <v>522</v>
      </c>
      <c r="B333" s="4">
        <v>1050000</v>
      </c>
    </row>
    <row r="334" spans="1:2" x14ac:dyDescent="0.3">
      <c r="A334" s="3" t="s">
        <v>524</v>
      </c>
      <c r="B334" s="4">
        <v>1050000</v>
      </c>
    </row>
    <row r="335" spans="1:2" x14ac:dyDescent="0.3">
      <c r="A335" s="3" t="s">
        <v>534</v>
      </c>
      <c r="B335" s="4">
        <v>1040000</v>
      </c>
    </row>
    <row r="336" spans="1:2" x14ac:dyDescent="0.3">
      <c r="A336" s="3" t="s">
        <v>532</v>
      </c>
      <c r="B336" s="4">
        <v>1040000</v>
      </c>
    </row>
    <row r="337" spans="1:2" x14ac:dyDescent="0.3">
      <c r="A337" s="3" t="s">
        <v>544</v>
      </c>
      <c r="B337" s="4">
        <v>1040000</v>
      </c>
    </row>
    <row r="338" spans="1:2" x14ac:dyDescent="0.3">
      <c r="A338" s="3" t="s">
        <v>538</v>
      </c>
      <c r="B338" s="4">
        <v>1040000</v>
      </c>
    </row>
    <row r="339" spans="1:2" x14ac:dyDescent="0.3">
      <c r="A339" s="3" t="s">
        <v>542</v>
      </c>
      <c r="B339" s="4">
        <v>1040000</v>
      </c>
    </row>
    <row r="340" spans="1:2" x14ac:dyDescent="0.3">
      <c r="A340" s="3" t="s">
        <v>540</v>
      </c>
      <c r="B340" s="4">
        <v>1040000</v>
      </c>
    </row>
    <row r="341" spans="1:2" x14ac:dyDescent="0.3">
      <c r="A341" s="3" t="s">
        <v>536</v>
      </c>
      <c r="B341" s="4">
        <v>1040000</v>
      </c>
    </row>
    <row r="342" spans="1:2" x14ac:dyDescent="0.3">
      <c r="A342" s="3" t="s">
        <v>546</v>
      </c>
      <c r="B342" s="4">
        <v>1040000</v>
      </c>
    </row>
    <row r="343" spans="1:2" x14ac:dyDescent="0.3">
      <c r="A343" s="3" t="s">
        <v>548</v>
      </c>
      <c r="B343" s="4">
        <v>882520</v>
      </c>
    </row>
    <row r="344" spans="1:2" x14ac:dyDescent="0.3">
      <c r="A344" s="3" t="s">
        <v>554</v>
      </c>
      <c r="B344" s="4">
        <v>881280</v>
      </c>
    </row>
    <row r="345" spans="1:2" x14ac:dyDescent="0.3">
      <c r="A345" s="3" t="s">
        <v>550</v>
      </c>
      <c r="B345" s="4">
        <v>880500</v>
      </c>
    </row>
    <row r="346" spans="1:2" x14ac:dyDescent="0.3">
      <c r="A346" s="3" t="s">
        <v>552</v>
      </c>
      <c r="B346" s="4">
        <v>880190</v>
      </c>
    </row>
    <row r="347" spans="1:2" x14ac:dyDescent="0.3">
      <c r="A347" s="3" t="s">
        <v>556</v>
      </c>
      <c r="B347" s="4">
        <v>878560</v>
      </c>
    </row>
    <row r="348" spans="1:2" x14ac:dyDescent="0.3">
      <c r="A348" s="3" t="s">
        <v>558</v>
      </c>
      <c r="B348" s="4">
        <v>874010</v>
      </c>
    </row>
    <row r="349" spans="1:2" x14ac:dyDescent="0.3">
      <c r="A349" s="3" t="s">
        <v>560</v>
      </c>
      <c r="B349" s="4">
        <v>873610</v>
      </c>
    </row>
    <row r="350" spans="1:2" x14ac:dyDescent="0.3">
      <c r="A350" s="3" t="s">
        <v>562</v>
      </c>
      <c r="B350" s="4">
        <v>873320</v>
      </c>
    </row>
    <row r="351" spans="1:2" x14ac:dyDescent="0.3">
      <c r="A351" s="3" t="s">
        <v>564</v>
      </c>
      <c r="B351" s="4">
        <v>870690</v>
      </c>
    </row>
    <row r="352" spans="1:2" x14ac:dyDescent="0.3">
      <c r="A352" s="3" t="s">
        <v>565</v>
      </c>
      <c r="B352" s="4">
        <v>870390</v>
      </c>
    </row>
    <row r="353" spans="1:2" x14ac:dyDescent="0.3">
      <c r="A353" s="3" t="s">
        <v>567</v>
      </c>
      <c r="B353" s="4">
        <v>865490</v>
      </c>
    </row>
    <row r="354" spans="1:2" x14ac:dyDescent="0.3">
      <c r="A354" s="3" t="s">
        <v>569</v>
      </c>
      <c r="B354" s="4">
        <v>864710</v>
      </c>
    </row>
    <row r="355" spans="1:2" x14ac:dyDescent="0.3">
      <c r="A355" s="3" t="s">
        <v>571</v>
      </c>
      <c r="B355" s="4">
        <v>863810</v>
      </c>
    </row>
    <row r="356" spans="1:2" x14ac:dyDescent="0.3">
      <c r="A356" s="3" t="s">
        <v>573</v>
      </c>
      <c r="B356" s="4">
        <v>863090</v>
      </c>
    </row>
    <row r="357" spans="1:2" x14ac:dyDescent="0.3">
      <c r="A357" s="3" t="s">
        <v>575</v>
      </c>
      <c r="B357" s="4">
        <v>861080</v>
      </c>
    </row>
    <row r="358" spans="1:2" x14ac:dyDescent="0.3">
      <c r="A358" s="3" t="s">
        <v>581</v>
      </c>
      <c r="B358" s="4">
        <v>2046242643250</v>
      </c>
    </row>
  </sheetData>
  <conditionalFormatting sqref="W65:W84">
    <cfRule type="dataBar" priority="6">
      <dataBar>
        <cfvo type="min"/>
        <cfvo type="max"/>
        <color rgb="FF63C384"/>
      </dataBar>
      <extLst>
        <ext xmlns:x14="http://schemas.microsoft.com/office/spreadsheetml/2009/9/main" uri="{B025F937-C7B1-47D3-B67F-A62EFF666E3E}">
          <x14:id>{02B9550D-3ED4-4655-89B3-C0604157507F}</x14:id>
        </ext>
      </extLst>
    </cfRule>
  </conditionalFormatting>
  <conditionalFormatting sqref="W65:W84">
    <cfRule type="dataBar" priority="5">
      <dataBar>
        <cfvo type="min"/>
        <cfvo type="max"/>
        <color rgb="FF63C384"/>
      </dataBar>
      <extLst>
        <ext xmlns:x14="http://schemas.microsoft.com/office/spreadsheetml/2009/9/main" uri="{B025F937-C7B1-47D3-B67F-A62EFF666E3E}">
          <x14:id>{DF2B5F0C-95F3-497F-A973-64A8B41BA4C8}</x14:id>
        </ext>
      </extLst>
    </cfRule>
  </conditionalFormatting>
  <conditionalFormatting sqref="W65:W84">
    <cfRule type="dataBar" priority="4">
      <dataBar>
        <cfvo type="min"/>
        <cfvo type="max"/>
        <color rgb="FF63C384"/>
      </dataBar>
      <extLst>
        <ext xmlns:x14="http://schemas.microsoft.com/office/spreadsheetml/2009/9/main" uri="{B025F937-C7B1-47D3-B67F-A62EFF666E3E}">
          <x14:id>{DDE7091A-F8A7-4C01-9FDE-E403DE0A6E74}</x14:id>
        </ext>
      </extLst>
    </cfRule>
  </conditionalFormatting>
  <conditionalFormatting sqref="W67">
    <cfRule type="dataBar" priority="3">
      <dataBar>
        <cfvo type="min"/>
        <cfvo type="max"/>
        <color rgb="FF63C384"/>
      </dataBar>
      <extLst>
        <ext xmlns:x14="http://schemas.microsoft.com/office/spreadsheetml/2009/9/main" uri="{B025F937-C7B1-47D3-B67F-A62EFF666E3E}">
          <x14:id>{54131DD9-1F59-4244-951F-9E05FAA55292}</x14:id>
        </ext>
      </extLst>
    </cfRule>
  </conditionalFormatting>
  <conditionalFormatting sqref="W65:W84">
    <cfRule type="dataBar" priority="2">
      <dataBar>
        <cfvo type="min"/>
        <cfvo type="max"/>
        <color rgb="FF63C384"/>
      </dataBar>
      <extLst>
        <ext xmlns:x14="http://schemas.microsoft.com/office/spreadsheetml/2009/9/main" uri="{B025F937-C7B1-47D3-B67F-A62EFF666E3E}">
          <x14:id>{B6E4DEE1-8946-40E9-A8F6-6B6FB816BC8E}</x14:id>
        </ext>
      </extLst>
    </cfRule>
  </conditionalFormatting>
  <conditionalFormatting sqref="W65:W84">
    <cfRule type="dataBar" priority="1">
      <dataBar>
        <cfvo type="min"/>
        <cfvo type="max"/>
        <color rgb="FF63C384"/>
      </dataBar>
      <extLst>
        <ext xmlns:x14="http://schemas.microsoft.com/office/spreadsheetml/2009/9/main" uri="{B025F937-C7B1-47D3-B67F-A62EFF666E3E}">
          <x14:id>{740A55B0-736E-4E58-965E-ACECC039352B}</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x14:cfRule type="dataBar" id="{02B9550D-3ED4-4655-89B3-C0604157507F}">
            <x14:dataBar minLength="0" maxLength="100" border="1" negativeBarBorderColorSameAsPositive="0">
              <x14:cfvo type="autoMin"/>
              <x14:cfvo type="autoMax"/>
              <x14:borderColor rgb="FF63C384"/>
              <x14:negativeFillColor rgb="FFFF0000"/>
              <x14:negativeBorderColor rgb="FFFF0000"/>
              <x14:axisColor rgb="FF000000"/>
            </x14:dataBar>
          </x14:cfRule>
          <xm:sqref>W65:W84</xm:sqref>
        </x14:conditionalFormatting>
        <x14:conditionalFormatting xmlns:xm="http://schemas.microsoft.com/office/excel/2006/main">
          <x14:cfRule type="dataBar" id="{DF2B5F0C-95F3-497F-A973-64A8B41BA4C8}">
            <x14:dataBar minLength="0" maxLength="100" gradient="0">
              <x14:cfvo type="autoMin"/>
              <x14:cfvo type="autoMax"/>
              <x14:negativeFillColor rgb="FFFF0000"/>
              <x14:axisColor rgb="FF000000"/>
            </x14:dataBar>
          </x14:cfRule>
          <xm:sqref>W65:W84</xm:sqref>
        </x14:conditionalFormatting>
        <x14:conditionalFormatting xmlns:xm="http://schemas.microsoft.com/office/excel/2006/main">
          <x14:cfRule type="dataBar" id="{DDE7091A-F8A7-4C01-9FDE-E403DE0A6E74}">
            <x14:dataBar minLength="0" maxLength="100" gradient="0">
              <x14:cfvo type="autoMin"/>
              <x14:cfvo type="autoMax"/>
              <x14:negativeFillColor rgb="FFFF0000"/>
              <x14:axisColor rgb="FF000000"/>
            </x14:dataBar>
          </x14:cfRule>
          <xm:sqref>W65:W84</xm:sqref>
        </x14:conditionalFormatting>
        <x14:conditionalFormatting xmlns:xm="http://schemas.microsoft.com/office/excel/2006/main">
          <x14:cfRule type="dataBar" id="{54131DD9-1F59-4244-951F-9E05FAA55292}">
            <x14:dataBar minLength="0" maxLength="100" gradient="0">
              <x14:cfvo type="autoMin"/>
              <x14:cfvo type="autoMax"/>
              <x14:negativeFillColor rgb="FFFF0000"/>
              <x14:axisColor rgb="FF000000"/>
            </x14:dataBar>
          </x14:cfRule>
          <xm:sqref>W67</xm:sqref>
        </x14:conditionalFormatting>
        <x14:conditionalFormatting xmlns:xm="http://schemas.microsoft.com/office/excel/2006/main">
          <x14:cfRule type="dataBar" id="{B6E4DEE1-8946-40E9-A8F6-6B6FB816BC8E}">
            <x14:dataBar minLength="0" maxLength="100" gradient="0">
              <x14:cfvo type="autoMin"/>
              <x14:cfvo type="autoMax"/>
              <x14:negativeFillColor rgb="FFFF0000"/>
              <x14:axisColor rgb="FF000000"/>
            </x14:dataBar>
          </x14:cfRule>
          <xm:sqref>W65:W84</xm:sqref>
        </x14:conditionalFormatting>
        <x14:conditionalFormatting xmlns:xm="http://schemas.microsoft.com/office/excel/2006/main">
          <x14:cfRule type="dataBar" id="{740A55B0-736E-4E58-965E-ACECC039352B}">
            <x14:dataBar minLength="0" maxLength="100" gradient="0">
              <x14:cfvo type="autoMin"/>
              <x14:cfvo type="autoMax"/>
              <x14:negativeFillColor rgb="FFFF0000"/>
              <x14:axisColor rgb="FF000000"/>
            </x14:dataBar>
          </x14:cfRule>
          <xm:sqref>W65:W84</xm:sqref>
        </x14:conditionalFormatting>
      </x14:conditionalFormattings>
    </ex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4D95A-83B1-489D-8181-C3DD8E60315C}">
  <dimension ref="B1:AA267"/>
  <sheetViews>
    <sheetView tabSelected="1" zoomScale="61" workbookViewId="0">
      <selection activeCell="AA14" sqref="AA14"/>
    </sheetView>
  </sheetViews>
  <sheetFormatPr defaultRowHeight="14.4" x14ac:dyDescent="0.3"/>
  <cols>
    <col min="21" max="21" width="39.109375" bestFit="1" customWidth="1"/>
    <col min="22" max="22" width="28" bestFit="1" customWidth="1"/>
  </cols>
  <sheetData>
    <row r="1" spans="2:27" x14ac:dyDescent="0.3">
      <c r="B1" s="11"/>
      <c r="C1" s="11"/>
      <c r="D1" s="11"/>
      <c r="E1" s="11"/>
      <c r="F1" s="11"/>
      <c r="G1" s="11"/>
      <c r="H1" s="11"/>
      <c r="I1" s="11"/>
      <c r="J1" s="11"/>
      <c r="K1" s="11"/>
      <c r="L1" s="11"/>
      <c r="M1" s="11"/>
      <c r="N1" s="11"/>
      <c r="O1" s="11"/>
      <c r="P1" s="11"/>
      <c r="Q1" s="11"/>
      <c r="R1" s="11"/>
      <c r="S1" s="11"/>
      <c r="T1" s="11"/>
      <c r="U1" s="11"/>
      <c r="V1" s="11"/>
      <c r="W1" s="11"/>
      <c r="X1" s="12"/>
      <c r="Y1" s="12"/>
    </row>
    <row r="2" spans="2:27" x14ac:dyDescent="0.3">
      <c r="B2" s="11"/>
      <c r="C2" s="11"/>
      <c r="D2" s="11"/>
      <c r="E2" s="11"/>
      <c r="F2" s="11"/>
      <c r="G2" s="11"/>
      <c r="H2" s="11"/>
      <c r="I2" s="11"/>
      <c r="J2" s="11"/>
      <c r="K2" s="11"/>
      <c r="L2" s="11"/>
      <c r="M2" s="11"/>
      <c r="N2" s="11"/>
      <c r="O2" s="11"/>
      <c r="P2" s="11"/>
      <c r="Q2" s="11"/>
      <c r="R2" s="11"/>
      <c r="S2" s="11"/>
      <c r="T2" s="11"/>
      <c r="U2" s="11"/>
      <c r="V2" s="11"/>
      <c r="W2" s="11"/>
      <c r="X2" s="12"/>
      <c r="Y2" s="12"/>
    </row>
    <row r="3" spans="2:27" x14ac:dyDescent="0.3">
      <c r="B3" s="11"/>
      <c r="C3" s="11"/>
      <c r="D3" s="11"/>
      <c r="E3" s="11"/>
      <c r="F3" s="11"/>
      <c r="G3" s="11"/>
      <c r="H3" s="11"/>
      <c r="I3" s="11"/>
      <c r="J3" s="11"/>
      <c r="K3" s="11"/>
      <c r="L3" s="11"/>
      <c r="M3" s="11"/>
      <c r="N3" s="11"/>
      <c r="O3" s="11"/>
      <c r="P3" s="11"/>
      <c r="Q3" s="11"/>
      <c r="R3" s="11"/>
      <c r="S3" s="11"/>
      <c r="T3" s="11"/>
      <c r="U3" s="11"/>
      <c r="V3" s="11"/>
      <c r="W3" s="11"/>
      <c r="X3" s="12"/>
      <c r="Y3" s="12"/>
    </row>
    <row r="4" spans="2:27" x14ac:dyDescent="0.3">
      <c r="B4" s="11"/>
      <c r="C4" s="11"/>
      <c r="D4" s="11"/>
      <c r="E4" s="11"/>
      <c r="F4" s="11"/>
      <c r="G4" s="11"/>
      <c r="H4" s="11"/>
      <c r="I4" s="11"/>
      <c r="J4" s="11"/>
      <c r="K4" s="11"/>
      <c r="L4" s="11"/>
      <c r="M4" s="11"/>
      <c r="N4" s="11"/>
      <c r="O4" s="11"/>
      <c r="P4" s="11"/>
      <c r="Q4" s="11"/>
      <c r="R4" s="11"/>
      <c r="S4" s="11"/>
      <c r="T4" s="11"/>
      <c r="U4" s="11"/>
      <c r="V4" s="11"/>
      <c r="W4" s="11"/>
      <c r="X4" s="12"/>
      <c r="Y4" s="12"/>
    </row>
    <row r="5" spans="2:27" x14ac:dyDescent="0.3">
      <c r="B5" s="11"/>
      <c r="C5" s="11"/>
      <c r="D5" s="11"/>
      <c r="E5" s="11"/>
      <c r="F5" s="11"/>
      <c r="G5" s="11"/>
      <c r="H5" s="11"/>
      <c r="I5" s="11"/>
      <c r="J5" s="11"/>
      <c r="K5" s="11"/>
      <c r="L5" s="11"/>
      <c r="M5" s="11"/>
      <c r="N5" s="11"/>
      <c r="O5" s="11"/>
      <c r="P5" s="11"/>
      <c r="Q5" s="11"/>
      <c r="R5" s="11"/>
      <c r="S5" s="11"/>
      <c r="T5" s="11"/>
      <c r="U5" s="11"/>
      <c r="V5" s="11"/>
      <c r="W5" s="11"/>
      <c r="X5" s="12"/>
      <c r="Y5" s="12"/>
    </row>
    <row r="6" spans="2:27" x14ac:dyDescent="0.3">
      <c r="B6" s="11"/>
      <c r="C6" s="11"/>
      <c r="D6" s="11"/>
      <c r="E6" s="11"/>
      <c r="F6" s="11"/>
      <c r="G6" s="11"/>
      <c r="H6" s="11"/>
      <c r="I6" s="11"/>
      <c r="J6" s="11"/>
      <c r="K6" s="11"/>
      <c r="L6" s="11"/>
      <c r="M6" s="11"/>
      <c r="N6" s="11"/>
      <c r="O6" s="11"/>
      <c r="P6" s="11"/>
      <c r="Q6" s="11"/>
      <c r="R6" s="11"/>
      <c r="S6" s="11"/>
      <c r="T6" s="11"/>
      <c r="U6" s="11"/>
      <c r="V6" s="11"/>
      <c r="W6" s="11"/>
      <c r="X6" s="12"/>
      <c r="Y6" s="12"/>
    </row>
    <row r="7" spans="2:27" x14ac:dyDescent="0.3">
      <c r="B7" s="11"/>
      <c r="C7" s="11"/>
      <c r="D7" s="11"/>
      <c r="E7" s="11"/>
      <c r="F7" s="11"/>
      <c r="G7" s="11"/>
      <c r="H7" s="11"/>
      <c r="I7" s="11"/>
      <c r="J7" s="11"/>
      <c r="K7" s="11"/>
      <c r="L7" s="11"/>
      <c r="M7" s="11"/>
      <c r="N7" s="11"/>
      <c r="O7" s="11"/>
      <c r="P7" s="11"/>
      <c r="Q7" s="11"/>
      <c r="R7" s="11"/>
      <c r="S7" s="11"/>
      <c r="T7" s="11"/>
      <c r="U7" s="11"/>
      <c r="V7" s="11"/>
      <c r="W7" s="11"/>
      <c r="X7" s="12"/>
      <c r="Y7" s="12"/>
    </row>
    <row r="8" spans="2:27" x14ac:dyDescent="0.3">
      <c r="B8" s="11"/>
      <c r="C8" s="11"/>
      <c r="D8" s="11"/>
      <c r="E8" s="11"/>
      <c r="F8" s="11"/>
      <c r="G8" s="11"/>
      <c r="H8" s="11"/>
      <c r="I8" s="11"/>
      <c r="J8" s="11"/>
      <c r="K8" s="11"/>
      <c r="L8" s="11"/>
      <c r="M8" s="11"/>
      <c r="N8" s="11"/>
      <c r="O8" s="11"/>
      <c r="P8" s="11"/>
      <c r="Q8" s="11"/>
      <c r="R8" s="11"/>
      <c r="S8" s="11"/>
      <c r="T8" s="11"/>
      <c r="U8" s="11"/>
      <c r="V8" s="11"/>
      <c r="W8" s="11"/>
      <c r="X8" s="12"/>
      <c r="Y8" s="12"/>
    </row>
    <row r="9" spans="2:27" x14ac:dyDescent="0.3">
      <c r="B9" s="11"/>
      <c r="C9" s="11"/>
      <c r="D9" s="11"/>
      <c r="E9" s="11"/>
      <c r="F9" s="11"/>
      <c r="G9" s="11"/>
      <c r="H9" s="11"/>
      <c r="I9" s="11"/>
      <c r="J9" s="11"/>
      <c r="K9" s="11"/>
      <c r="L9" s="11"/>
      <c r="M9" s="11"/>
      <c r="N9" s="11"/>
      <c r="O9" s="11"/>
      <c r="P9" s="11"/>
      <c r="Q9" s="11"/>
      <c r="R9" s="11"/>
      <c r="S9" s="11"/>
      <c r="T9" s="11"/>
      <c r="U9" s="11"/>
      <c r="V9" s="11"/>
      <c r="W9" s="11"/>
      <c r="X9" s="12"/>
      <c r="Y9" s="12"/>
    </row>
    <row r="10" spans="2:27" x14ac:dyDescent="0.3">
      <c r="B10" s="11"/>
      <c r="C10" s="11"/>
      <c r="D10" s="11"/>
      <c r="E10" s="11"/>
      <c r="F10" s="11"/>
      <c r="G10" s="11"/>
      <c r="H10" s="11"/>
      <c r="I10" s="11"/>
      <c r="J10" s="11"/>
      <c r="K10" s="11"/>
      <c r="L10" s="11"/>
      <c r="M10" s="11"/>
      <c r="N10" s="11"/>
      <c r="O10" s="11"/>
      <c r="P10" s="11"/>
      <c r="Q10" s="11"/>
      <c r="R10" s="11"/>
      <c r="S10" s="11"/>
      <c r="T10" s="11"/>
      <c r="U10" s="11"/>
      <c r="V10" s="11"/>
      <c r="W10" s="11"/>
      <c r="X10" s="12"/>
      <c r="Y10" s="12"/>
    </row>
    <row r="11" spans="2:27" x14ac:dyDescent="0.3">
      <c r="B11" s="11"/>
      <c r="C11" s="11"/>
      <c r="D11" s="11"/>
      <c r="E11" s="11"/>
      <c r="F11" s="11"/>
      <c r="G11" s="11"/>
      <c r="H11" s="11"/>
      <c r="I11" s="11"/>
      <c r="J11" s="11"/>
      <c r="K11" s="11"/>
      <c r="L11" s="11"/>
      <c r="M11" s="11"/>
      <c r="N11" s="11"/>
      <c r="O11" s="11"/>
      <c r="P11" s="11"/>
      <c r="Q11" s="11"/>
      <c r="R11" s="11"/>
      <c r="S11" s="11"/>
      <c r="T11" s="11"/>
      <c r="U11" s="11"/>
      <c r="V11" s="11"/>
      <c r="W11" s="11"/>
      <c r="X11" s="12"/>
      <c r="Y11" s="12"/>
    </row>
    <row r="12" spans="2:27" x14ac:dyDescent="0.3">
      <c r="B12" s="11"/>
      <c r="C12" s="11"/>
      <c r="D12" s="11"/>
      <c r="E12" s="11"/>
      <c r="F12" s="11"/>
      <c r="G12" s="11"/>
      <c r="H12" s="11"/>
      <c r="I12" s="11"/>
      <c r="J12" s="11"/>
      <c r="K12" s="11"/>
      <c r="L12" s="11"/>
      <c r="M12" s="11"/>
      <c r="N12" s="11"/>
      <c r="O12" s="11"/>
      <c r="P12" s="11"/>
      <c r="Q12" s="11"/>
      <c r="R12" s="11"/>
      <c r="S12" s="11"/>
      <c r="T12" s="11"/>
      <c r="U12" s="11"/>
      <c r="V12" s="11"/>
      <c r="W12" s="11"/>
      <c r="X12" s="12"/>
      <c r="Y12" s="12"/>
    </row>
    <row r="13" spans="2:27" x14ac:dyDescent="0.3">
      <c r="B13" s="11"/>
      <c r="C13" s="11"/>
      <c r="D13" s="11"/>
      <c r="E13" s="11"/>
      <c r="F13" s="11"/>
      <c r="G13" s="11"/>
      <c r="H13" s="11"/>
      <c r="I13" s="11"/>
      <c r="J13" s="11"/>
      <c r="K13" s="11"/>
      <c r="L13" s="11"/>
      <c r="M13" s="11"/>
      <c r="N13" s="11"/>
      <c r="O13" s="11"/>
      <c r="P13" s="11"/>
      <c r="Q13" s="11"/>
      <c r="R13" s="11"/>
      <c r="S13" s="11"/>
      <c r="T13" s="11"/>
      <c r="U13" s="11"/>
      <c r="V13" s="11"/>
      <c r="W13" s="11"/>
      <c r="X13" s="12"/>
      <c r="Y13" s="12"/>
    </row>
    <row r="14" spans="2:27" x14ac:dyDescent="0.3">
      <c r="B14" s="11"/>
      <c r="C14" s="11"/>
      <c r="D14" s="11"/>
      <c r="E14" s="11"/>
      <c r="F14" s="11"/>
      <c r="G14" s="11"/>
      <c r="H14" s="11"/>
      <c r="I14" s="11"/>
      <c r="J14" s="11"/>
      <c r="K14" s="11"/>
      <c r="L14" s="11"/>
      <c r="M14" s="11"/>
      <c r="N14" s="11"/>
      <c r="O14" s="11"/>
      <c r="P14" s="11"/>
      <c r="Q14" s="11"/>
      <c r="R14" s="11"/>
      <c r="S14" s="11"/>
      <c r="T14" s="11"/>
      <c r="U14" s="11"/>
      <c r="V14" s="11"/>
      <c r="W14" s="11"/>
      <c r="X14" s="12"/>
      <c r="Y14" s="12"/>
      <c r="AA14" s="13"/>
    </row>
    <row r="15" spans="2:27" x14ac:dyDescent="0.3">
      <c r="B15" s="11"/>
      <c r="C15" s="11"/>
      <c r="D15" s="11"/>
      <c r="E15" s="11"/>
      <c r="F15" s="11"/>
      <c r="G15" s="11"/>
      <c r="H15" s="11"/>
      <c r="I15" s="11"/>
      <c r="J15" s="11"/>
      <c r="K15" s="11"/>
      <c r="L15" s="11"/>
      <c r="M15" s="11"/>
      <c r="N15" s="11"/>
      <c r="O15" s="11"/>
      <c r="P15" s="11"/>
      <c r="Q15" s="11"/>
      <c r="R15" s="11"/>
      <c r="S15" s="11"/>
      <c r="T15" s="11"/>
      <c r="U15" s="11"/>
      <c r="V15" s="11"/>
      <c r="W15" s="11"/>
      <c r="X15" s="12"/>
      <c r="Y15" s="12"/>
    </row>
    <row r="16" spans="2:27" x14ac:dyDescent="0.3">
      <c r="B16" s="11"/>
      <c r="C16" s="11"/>
      <c r="D16" s="11"/>
      <c r="E16" s="11"/>
      <c r="F16" s="11"/>
      <c r="G16" s="11"/>
      <c r="H16" s="11"/>
      <c r="I16" s="11"/>
      <c r="J16" s="11"/>
      <c r="K16" s="11"/>
      <c r="L16" s="11"/>
      <c r="M16" s="11"/>
      <c r="N16" s="11"/>
      <c r="O16" s="11"/>
      <c r="P16" s="11"/>
      <c r="Q16" s="11"/>
      <c r="R16" s="11"/>
      <c r="S16" s="11"/>
      <c r="T16" s="11"/>
      <c r="U16" s="11"/>
      <c r="V16" s="11"/>
      <c r="W16" s="11"/>
      <c r="X16" s="12"/>
      <c r="Y16" s="12"/>
    </row>
    <row r="17" spans="2:25" x14ac:dyDescent="0.3">
      <c r="B17" s="11"/>
      <c r="C17" s="11"/>
      <c r="D17" s="11"/>
      <c r="E17" s="11"/>
      <c r="F17" s="11"/>
      <c r="G17" s="11"/>
      <c r="H17" s="11"/>
      <c r="I17" s="11"/>
      <c r="J17" s="11"/>
      <c r="K17" s="11"/>
      <c r="L17" s="11"/>
      <c r="M17" s="11"/>
      <c r="N17" s="11"/>
      <c r="O17" s="11"/>
      <c r="P17" s="11"/>
      <c r="Q17" s="11"/>
      <c r="R17" s="11"/>
      <c r="S17" s="11"/>
      <c r="T17" s="11"/>
      <c r="U17" s="11"/>
      <c r="V17" s="11"/>
      <c r="W17" s="11"/>
      <c r="X17" s="12"/>
      <c r="Y17" s="12"/>
    </row>
    <row r="18" spans="2:25" x14ac:dyDescent="0.3">
      <c r="B18" s="11"/>
      <c r="C18" s="11"/>
      <c r="D18" s="11"/>
      <c r="E18" s="11"/>
      <c r="F18" s="11"/>
      <c r="G18" s="11"/>
      <c r="H18" s="11"/>
      <c r="I18" s="11"/>
      <c r="J18" s="11"/>
      <c r="K18" s="11"/>
      <c r="L18" s="11"/>
      <c r="M18" s="11"/>
      <c r="N18" s="11"/>
      <c r="O18" s="11"/>
      <c r="P18" s="11"/>
      <c r="Q18" s="11"/>
      <c r="R18" s="11"/>
      <c r="S18" s="11"/>
      <c r="T18" s="11"/>
      <c r="U18" s="11"/>
      <c r="V18" s="11"/>
      <c r="W18" s="11"/>
      <c r="X18" s="12"/>
      <c r="Y18" s="12"/>
    </row>
    <row r="19" spans="2:25" x14ac:dyDescent="0.3">
      <c r="B19" s="11"/>
      <c r="C19" s="11"/>
      <c r="D19" s="11"/>
      <c r="E19" s="11"/>
      <c r="F19" s="11"/>
      <c r="G19" s="11"/>
      <c r="H19" s="11"/>
      <c r="I19" s="11"/>
      <c r="J19" s="11"/>
      <c r="K19" s="11"/>
      <c r="L19" s="11"/>
      <c r="M19" s="11"/>
      <c r="N19" s="11"/>
      <c r="O19" s="11"/>
      <c r="P19" s="11"/>
      <c r="Q19" s="11"/>
      <c r="R19" s="11"/>
      <c r="S19" s="11"/>
      <c r="T19" s="11"/>
      <c r="U19" s="11"/>
      <c r="V19" s="11"/>
      <c r="W19" s="11"/>
      <c r="X19" s="12"/>
      <c r="Y19" s="12"/>
    </row>
    <row r="20" spans="2:25" x14ac:dyDescent="0.3">
      <c r="B20" s="11"/>
      <c r="C20" s="11"/>
      <c r="D20" s="11"/>
      <c r="E20" s="11"/>
      <c r="F20" s="11"/>
      <c r="G20" s="11"/>
      <c r="H20" s="11"/>
      <c r="I20" s="11"/>
      <c r="J20" s="11"/>
      <c r="K20" s="11"/>
      <c r="L20" s="11"/>
      <c r="M20" s="11"/>
      <c r="N20" s="11"/>
      <c r="O20" s="11"/>
      <c r="P20" s="11"/>
      <c r="Q20" s="11"/>
      <c r="R20" s="11"/>
      <c r="S20" s="11"/>
      <c r="T20" s="11"/>
      <c r="U20" s="11"/>
      <c r="V20" s="11"/>
      <c r="W20" s="11"/>
      <c r="X20" s="12"/>
      <c r="Y20" s="12"/>
    </row>
    <row r="21" spans="2:25" x14ac:dyDescent="0.3">
      <c r="B21" s="11"/>
      <c r="C21" s="11"/>
      <c r="D21" s="11"/>
      <c r="E21" s="11"/>
      <c r="F21" s="11"/>
      <c r="G21" s="11"/>
      <c r="H21" s="11"/>
      <c r="I21" s="11"/>
      <c r="J21" s="11"/>
      <c r="K21" s="11"/>
      <c r="L21" s="11"/>
      <c r="M21" s="11"/>
      <c r="N21" s="11"/>
      <c r="O21" s="11"/>
      <c r="P21" s="11"/>
      <c r="Q21" s="11"/>
      <c r="R21" s="11"/>
      <c r="S21" s="11"/>
      <c r="T21" s="11"/>
      <c r="U21" s="11"/>
      <c r="V21" s="11"/>
      <c r="W21" s="11"/>
      <c r="X21" s="12"/>
      <c r="Y21" s="12"/>
    </row>
    <row r="22" spans="2:25" x14ac:dyDescent="0.3">
      <c r="B22" s="11"/>
      <c r="C22" s="11"/>
      <c r="D22" s="11"/>
      <c r="E22" s="11"/>
      <c r="F22" s="11"/>
      <c r="G22" s="11"/>
      <c r="H22" s="11"/>
      <c r="I22" s="11"/>
      <c r="J22" s="11"/>
      <c r="K22" s="11"/>
      <c r="L22" s="11"/>
      <c r="M22" s="11"/>
      <c r="N22" s="11"/>
      <c r="O22" s="11"/>
      <c r="P22" s="11"/>
      <c r="Q22" s="11"/>
      <c r="R22" s="11"/>
      <c r="S22" s="11"/>
      <c r="T22" s="11"/>
      <c r="U22" s="11"/>
      <c r="V22" s="11"/>
      <c r="W22" s="11"/>
      <c r="X22" s="12"/>
      <c r="Y22" s="12"/>
    </row>
    <row r="23" spans="2:25" x14ac:dyDescent="0.3">
      <c r="B23" s="11"/>
      <c r="C23" s="11"/>
      <c r="D23" s="11"/>
      <c r="E23" s="11"/>
      <c r="F23" s="11"/>
      <c r="G23" s="11"/>
      <c r="H23" s="11"/>
      <c r="I23" s="11"/>
      <c r="J23" s="11"/>
      <c r="K23" s="11"/>
      <c r="L23" s="11"/>
      <c r="M23" s="11"/>
      <c r="N23" s="11"/>
      <c r="O23" s="11"/>
      <c r="P23" s="11"/>
      <c r="Q23" s="11"/>
      <c r="R23" s="11"/>
      <c r="S23" s="11"/>
      <c r="T23" s="11"/>
      <c r="U23" s="11"/>
      <c r="V23" s="11"/>
      <c r="W23" s="11"/>
      <c r="X23" s="12"/>
      <c r="Y23" s="12"/>
    </row>
    <row r="24" spans="2:25" x14ac:dyDescent="0.3">
      <c r="B24" s="11"/>
      <c r="C24" s="11"/>
      <c r="D24" s="11"/>
      <c r="E24" s="11"/>
      <c r="F24" s="11"/>
      <c r="G24" s="11"/>
      <c r="H24" s="11"/>
      <c r="I24" s="11"/>
      <c r="J24" s="11"/>
      <c r="K24" s="11"/>
      <c r="L24" s="11"/>
      <c r="M24" s="11"/>
      <c r="N24" s="11"/>
      <c r="O24" s="11"/>
      <c r="P24" s="11"/>
      <c r="Q24" s="11"/>
      <c r="R24" s="11"/>
      <c r="S24" s="11"/>
      <c r="T24" s="11"/>
      <c r="U24" s="11"/>
      <c r="V24" s="11"/>
      <c r="W24" s="11"/>
      <c r="X24" s="12"/>
      <c r="Y24" s="12"/>
    </row>
    <row r="25" spans="2:25" x14ac:dyDescent="0.3">
      <c r="B25" s="11"/>
      <c r="C25" s="11"/>
      <c r="D25" s="11"/>
      <c r="E25" s="11"/>
      <c r="F25" s="11"/>
      <c r="G25" s="11"/>
      <c r="H25" s="11"/>
      <c r="I25" s="11"/>
      <c r="J25" s="11"/>
      <c r="K25" s="11"/>
      <c r="L25" s="11"/>
      <c r="M25" s="11"/>
      <c r="N25" s="11"/>
      <c r="O25" s="11"/>
      <c r="P25" s="11"/>
      <c r="Q25" s="11"/>
      <c r="R25" s="11"/>
      <c r="S25" s="11"/>
      <c r="T25" s="11"/>
      <c r="U25" s="11"/>
      <c r="V25" s="11"/>
      <c r="W25" s="11"/>
      <c r="X25" s="12"/>
      <c r="Y25" s="12"/>
    </row>
    <row r="26" spans="2:25" x14ac:dyDescent="0.3">
      <c r="B26" s="11"/>
      <c r="C26" s="11"/>
      <c r="D26" s="11"/>
      <c r="E26" s="11"/>
      <c r="F26" s="11"/>
      <c r="G26" s="11"/>
      <c r="H26" s="11"/>
      <c r="I26" s="11"/>
      <c r="J26" s="11"/>
      <c r="K26" s="11"/>
      <c r="L26" s="11"/>
      <c r="M26" s="11"/>
      <c r="N26" s="11"/>
      <c r="O26" s="11"/>
      <c r="P26" s="11"/>
      <c r="Q26" s="11"/>
      <c r="R26" s="11"/>
      <c r="S26" s="11"/>
      <c r="T26" s="11"/>
      <c r="U26" s="11"/>
      <c r="V26" s="11"/>
      <c r="W26" s="11"/>
      <c r="X26" s="12"/>
      <c r="Y26" s="12"/>
    </row>
    <row r="27" spans="2:25" x14ac:dyDescent="0.3">
      <c r="B27" s="11"/>
      <c r="C27" s="11"/>
      <c r="D27" s="11"/>
      <c r="E27" s="11"/>
      <c r="F27" s="11"/>
      <c r="G27" s="11"/>
      <c r="H27" s="11"/>
      <c r="I27" s="11"/>
      <c r="J27" s="11"/>
      <c r="K27" s="11"/>
      <c r="L27" s="11"/>
      <c r="M27" s="11"/>
      <c r="N27" s="11"/>
      <c r="O27" s="11"/>
      <c r="P27" s="11"/>
      <c r="Q27" s="11"/>
      <c r="R27" s="11"/>
      <c r="S27" s="11"/>
      <c r="T27" s="11"/>
      <c r="U27" s="11"/>
      <c r="V27" s="11"/>
      <c r="W27" s="11"/>
      <c r="X27" s="12"/>
      <c r="Y27" s="12"/>
    </row>
    <row r="28" spans="2:25" x14ac:dyDescent="0.3">
      <c r="B28" s="11"/>
      <c r="C28" s="11"/>
      <c r="D28" s="11"/>
      <c r="E28" s="11"/>
      <c r="F28" s="11"/>
      <c r="G28" s="11"/>
      <c r="H28" s="11"/>
      <c r="I28" s="11"/>
      <c r="J28" s="11"/>
      <c r="K28" s="11"/>
      <c r="L28" s="11"/>
      <c r="M28" s="11"/>
      <c r="N28" s="11"/>
      <c r="O28" s="11"/>
      <c r="P28" s="11"/>
      <c r="Q28" s="11"/>
      <c r="R28" s="11"/>
      <c r="S28" s="11"/>
      <c r="T28" s="11"/>
      <c r="U28" s="11"/>
      <c r="V28" s="11"/>
      <c r="W28" s="11"/>
      <c r="X28" s="12"/>
      <c r="Y28" s="12"/>
    </row>
    <row r="29" spans="2:25" x14ac:dyDescent="0.3">
      <c r="B29" s="11"/>
      <c r="C29" s="11"/>
      <c r="D29" s="11"/>
      <c r="E29" s="11"/>
      <c r="F29" s="11"/>
      <c r="G29" s="11"/>
      <c r="H29" s="11"/>
      <c r="I29" s="11"/>
      <c r="J29" s="11"/>
      <c r="K29" s="11"/>
      <c r="L29" s="11"/>
      <c r="M29" s="11"/>
      <c r="N29" s="11"/>
      <c r="O29" s="11"/>
      <c r="P29" s="11"/>
      <c r="Q29" s="11"/>
      <c r="R29" s="11"/>
      <c r="S29" s="11"/>
      <c r="T29" s="11"/>
      <c r="U29" s="11"/>
      <c r="V29" s="11"/>
      <c r="W29" s="11"/>
      <c r="X29" s="12"/>
      <c r="Y29" s="12"/>
    </row>
    <row r="30" spans="2:25" x14ac:dyDescent="0.3">
      <c r="B30" s="11"/>
      <c r="C30" s="11"/>
      <c r="D30" s="11"/>
      <c r="E30" s="11"/>
      <c r="F30" s="11"/>
      <c r="G30" s="11"/>
      <c r="H30" s="11"/>
      <c r="I30" s="11"/>
      <c r="J30" s="11"/>
      <c r="K30" s="11"/>
      <c r="L30" s="11"/>
      <c r="M30" s="11"/>
      <c r="N30" s="11"/>
      <c r="O30" s="11"/>
      <c r="P30" s="11"/>
      <c r="Q30" s="11"/>
      <c r="R30" s="11"/>
      <c r="S30" s="11"/>
      <c r="T30" s="11"/>
      <c r="U30" s="11"/>
      <c r="V30" s="11"/>
      <c r="W30" s="11"/>
      <c r="X30" s="12"/>
      <c r="Y30" s="12"/>
    </row>
    <row r="31" spans="2:25" x14ac:dyDescent="0.3">
      <c r="B31" s="11"/>
      <c r="C31" s="11"/>
      <c r="D31" s="11"/>
      <c r="E31" s="11"/>
      <c r="F31" s="11"/>
      <c r="G31" s="11"/>
      <c r="H31" s="11"/>
      <c r="I31" s="11"/>
      <c r="J31" s="11"/>
      <c r="K31" s="11"/>
      <c r="L31" s="11"/>
      <c r="M31" s="11"/>
      <c r="N31" s="11"/>
      <c r="O31" s="11"/>
      <c r="P31" s="11"/>
      <c r="Q31" s="11"/>
      <c r="R31" s="11"/>
      <c r="S31" s="11"/>
      <c r="T31" s="11"/>
      <c r="U31" s="11"/>
      <c r="V31" s="11"/>
      <c r="W31" s="11"/>
      <c r="X31" s="12"/>
      <c r="Y31" s="12"/>
    </row>
    <row r="32" spans="2:25" x14ac:dyDescent="0.3">
      <c r="B32" s="11"/>
      <c r="C32" s="11"/>
      <c r="D32" s="11"/>
      <c r="E32" s="11"/>
      <c r="F32" s="11"/>
      <c r="G32" s="11"/>
      <c r="H32" s="11"/>
      <c r="I32" s="11"/>
      <c r="J32" s="11"/>
      <c r="K32" s="11"/>
      <c r="L32" s="11"/>
      <c r="M32" s="11"/>
      <c r="N32" s="11"/>
      <c r="O32" s="11"/>
      <c r="P32" s="11"/>
      <c r="Q32" s="11"/>
      <c r="R32" s="11"/>
      <c r="S32" s="11"/>
      <c r="T32" s="11"/>
      <c r="U32" s="11"/>
      <c r="V32" s="11"/>
      <c r="W32" s="11"/>
      <c r="X32" s="12"/>
      <c r="Y32" s="12"/>
    </row>
    <row r="33" spans="2:25" x14ac:dyDescent="0.3">
      <c r="B33" s="11"/>
      <c r="C33" s="11"/>
      <c r="D33" s="11"/>
      <c r="E33" s="11"/>
      <c r="F33" s="11"/>
      <c r="G33" s="11"/>
      <c r="H33" s="11"/>
      <c r="I33" s="11"/>
      <c r="J33" s="11"/>
      <c r="K33" s="11"/>
      <c r="L33" s="11"/>
      <c r="M33" s="11"/>
      <c r="N33" s="11"/>
      <c r="O33" s="11"/>
      <c r="P33" s="11"/>
      <c r="Q33" s="11"/>
      <c r="R33" s="11"/>
      <c r="S33" s="11"/>
      <c r="T33" s="11"/>
      <c r="U33" s="11"/>
      <c r="V33" s="11"/>
      <c r="W33" s="11"/>
      <c r="X33" s="12"/>
      <c r="Y33" s="12"/>
    </row>
    <row r="34" spans="2:25" x14ac:dyDescent="0.3">
      <c r="B34" s="11"/>
      <c r="C34" s="11"/>
      <c r="D34" s="11"/>
      <c r="E34" s="11"/>
      <c r="F34" s="11"/>
      <c r="G34" s="11"/>
      <c r="H34" s="11"/>
      <c r="I34" s="11"/>
      <c r="J34" s="11"/>
      <c r="K34" s="11"/>
      <c r="L34" s="11"/>
      <c r="M34" s="11"/>
      <c r="N34" s="11"/>
      <c r="O34" s="11"/>
      <c r="P34" s="11"/>
      <c r="Q34" s="11"/>
      <c r="R34" s="11"/>
      <c r="S34" s="11"/>
      <c r="T34" s="11"/>
      <c r="U34" s="11"/>
      <c r="V34" s="11"/>
      <c r="W34" s="11"/>
      <c r="X34" s="12"/>
      <c r="Y34" s="12"/>
    </row>
    <row r="35" spans="2:25" x14ac:dyDescent="0.3">
      <c r="B35" s="11"/>
      <c r="C35" s="11"/>
      <c r="D35" s="11"/>
      <c r="E35" s="11"/>
      <c r="F35" s="11"/>
      <c r="G35" s="11"/>
      <c r="H35" s="11"/>
      <c r="I35" s="11"/>
      <c r="J35" s="11"/>
      <c r="K35" s="11"/>
      <c r="L35" s="11"/>
      <c r="M35" s="11"/>
      <c r="N35" s="11"/>
      <c r="O35" s="11"/>
      <c r="P35" s="11"/>
      <c r="Q35" s="11"/>
      <c r="R35" s="11"/>
      <c r="S35" s="11"/>
      <c r="T35" s="11"/>
      <c r="U35" s="11"/>
      <c r="V35" s="11"/>
      <c r="W35" s="11"/>
      <c r="X35" s="12"/>
      <c r="Y35" s="12"/>
    </row>
    <row r="36" spans="2:25" x14ac:dyDescent="0.3">
      <c r="B36" s="11"/>
      <c r="C36" s="11"/>
      <c r="D36" s="11"/>
      <c r="E36" s="11"/>
      <c r="F36" s="11"/>
      <c r="G36" s="11"/>
      <c r="H36" s="11"/>
      <c r="I36" s="11"/>
      <c r="J36" s="11"/>
      <c r="K36" s="11"/>
      <c r="L36" s="11"/>
      <c r="M36" s="11"/>
      <c r="N36" s="11"/>
      <c r="O36" s="11"/>
      <c r="P36" s="11"/>
      <c r="Q36" s="11"/>
      <c r="R36" s="11"/>
      <c r="S36" s="11"/>
      <c r="T36" s="11"/>
      <c r="U36" s="11"/>
      <c r="V36" s="11"/>
      <c r="W36" s="11"/>
      <c r="X36" s="12"/>
      <c r="Y36" s="12"/>
    </row>
    <row r="37" spans="2:25" x14ac:dyDescent="0.3">
      <c r="B37" s="11"/>
      <c r="C37" s="11"/>
      <c r="D37" s="11"/>
      <c r="E37" s="11"/>
      <c r="F37" s="11"/>
      <c r="G37" s="11"/>
      <c r="H37" s="11"/>
      <c r="I37" s="11"/>
      <c r="J37" s="11"/>
      <c r="K37" s="11"/>
      <c r="L37" s="11"/>
      <c r="M37" s="11"/>
      <c r="N37" s="11"/>
      <c r="O37" s="11"/>
      <c r="P37" s="11"/>
      <c r="Q37" s="11"/>
      <c r="R37" s="11"/>
      <c r="S37" s="11"/>
      <c r="T37" s="11"/>
      <c r="U37" s="11"/>
      <c r="V37" s="11"/>
      <c r="W37" s="11"/>
      <c r="X37" s="12"/>
      <c r="Y37" s="12"/>
    </row>
    <row r="38" spans="2:25" x14ac:dyDescent="0.3">
      <c r="B38" s="11"/>
      <c r="C38" s="11"/>
      <c r="D38" s="11"/>
      <c r="E38" s="11"/>
      <c r="F38" s="11"/>
      <c r="G38" s="11"/>
      <c r="H38" s="11"/>
      <c r="I38" s="11"/>
      <c r="J38" s="11"/>
      <c r="K38" s="11"/>
      <c r="L38" s="11"/>
      <c r="M38" s="11"/>
      <c r="N38" s="11"/>
      <c r="O38" s="11"/>
      <c r="P38" s="11"/>
      <c r="Q38" s="11"/>
      <c r="R38" s="11"/>
      <c r="S38" s="11"/>
      <c r="T38" s="11"/>
      <c r="U38" s="11"/>
      <c r="V38" s="11"/>
      <c r="W38" s="11"/>
      <c r="X38" s="12"/>
      <c r="Y38" s="12"/>
    </row>
    <row r="39" spans="2:25" x14ac:dyDescent="0.3">
      <c r="B39" s="11"/>
      <c r="C39" s="11"/>
      <c r="D39" s="11"/>
      <c r="E39" s="11"/>
      <c r="F39" s="11"/>
      <c r="G39" s="11"/>
      <c r="H39" s="11"/>
      <c r="I39" s="11"/>
      <c r="J39" s="11"/>
      <c r="K39" s="11"/>
      <c r="L39" s="11"/>
      <c r="M39" s="11"/>
      <c r="N39" s="11"/>
      <c r="O39" s="11"/>
      <c r="P39" s="11"/>
      <c r="Q39" s="11"/>
      <c r="R39" s="11"/>
      <c r="S39" s="11"/>
      <c r="T39" s="11"/>
      <c r="U39" s="7" t="s">
        <v>0</v>
      </c>
      <c r="V39" s="7" t="s">
        <v>583</v>
      </c>
      <c r="W39" s="11"/>
      <c r="X39" s="12"/>
      <c r="Y39" s="12"/>
    </row>
    <row r="40" spans="2:25" x14ac:dyDescent="0.3">
      <c r="B40" s="11"/>
      <c r="C40" s="11"/>
      <c r="D40" s="11"/>
      <c r="E40" s="11"/>
      <c r="F40" s="11"/>
      <c r="G40" s="11"/>
      <c r="H40" s="11"/>
      <c r="I40" s="11"/>
      <c r="J40" s="11"/>
      <c r="K40" s="11"/>
      <c r="L40" s="11"/>
      <c r="M40" s="11"/>
      <c r="N40" s="11"/>
      <c r="O40" s="11"/>
      <c r="P40" s="11"/>
      <c r="Q40" s="11"/>
      <c r="R40" s="11"/>
      <c r="S40" s="11"/>
      <c r="T40" s="11"/>
      <c r="U40" s="8" t="s">
        <v>532</v>
      </c>
      <c r="V40" s="9">
        <v>16.46</v>
      </c>
      <c r="W40" s="11"/>
      <c r="X40" s="12"/>
      <c r="Y40" s="12"/>
    </row>
    <row r="41" spans="2:25" x14ac:dyDescent="0.3">
      <c r="B41" s="11"/>
      <c r="C41" s="11"/>
      <c r="D41" s="11"/>
      <c r="E41" s="11"/>
      <c r="F41" s="11"/>
      <c r="G41" s="11"/>
      <c r="H41" s="11"/>
      <c r="I41" s="11"/>
      <c r="J41" s="11"/>
      <c r="K41" s="11"/>
      <c r="L41" s="11"/>
      <c r="M41" s="11"/>
      <c r="N41" s="11"/>
      <c r="O41" s="11"/>
      <c r="P41" s="11"/>
      <c r="Q41" s="11"/>
      <c r="R41" s="11"/>
      <c r="S41" s="11"/>
      <c r="T41" s="11"/>
      <c r="U41" s="8" t="s">
        <v>225</v>
      </c>
      <c r="V41" s="9">
        <v>4.3499999999999996</v>
      </c>
      <c r="W41" s="11"/>
      <c r="X41" s="12"/>
      <c r="Y41" s="12"/>
    </row>
    <row r="42" spans="2:25" x14ac:dyDescent="0.3">
      <c r="B42" s="11"/>
      <c r="C42" s="11"/>
      <c r="D42" s="11"/>
      <c r="E42" s="11"/>
      <c r="F42" s="11"/>
      <c r="G42" s="11"/>
      <c r="H42" s="11"/>
      <c r="I42" s="11"/>
      <c r="J42" s="11"/>
      <c r="K42" s="11"/>
      <c r="L42" s="11"/>
      <c r="M42" s="11"/>
      <c r="N42" s="11"/>
      <c r="O42" s="11"/>
      <c r="P42" s="11"/>
      <c r="Q42" s="11"/>
      <c r="R42" s="11"/>
      <c r="S42" s="11"/>
      <c r="T42" s="11"/>
      <c r="U42" s="10" t="s">
        <v>225</v>
      </c>
      <c r="V42" s="9">
        <v>4.3499999999999996</v>
      </c>
      <c r="W42" s="11"/>
      <c r="X42" s="12"/>
      <c r="Y42" s="12"/>
    </row>
    <row r="43" spans="2:25" x14ac:dyDescent="0.3">
      <c r="B43" s="11"/>
      <c r="C43" s="11"/>
      <c r="D43" s="11"/>
      <c r="E43" s="11"/>
      <c r="F43" s="11"/>
      <c r="G43" s="11"/>
      <c r="H43" s="11"/>
      <c r="I43" s="11"/>
      <c r="J43" s="11"/>
      <c r="K43" s="11"/>
      <c r="L43" s="11"/>
      <c r="M43" s="11"/>
      <c r="N43" s="11"/>
      <c r="O43" s="11"/>
      <c r="P43" s="11"/>
      <c r="Q43" s="11"/>
      <c r="R43" s="11"/>
      <c r="S43" s="11"/>
      <c r="T43" s="11"/>
      <c r="U43" s="8" t="s">
        <v>257</v>
      </c>
      <c r="V43" s="9">
        <v>3.06</v>
      </c>
      <c r="W43" s="11"/>
      <c r="X43" s="12"/>
      <c r="Y43" s="12"/>
    </row>
    <row r="44" spans="2:25" x14ac:dyDescent="0.3">
      <c r="B44" s="11"/>
      <c r="C44" s="11"/>
      <c r="D44" s="11"/>
      <c r="E44" s="11"/>
      <c r="F44" s="11"/>
      <c r="G44" s="11"/>
      <c r="H44" s="11"/>
      <c r="I44" s="11"/>
      <c r="J44" s="11"/>
      <c r="K44" s="11"/>
      <c r="L44" s="11"/>
      <c r="M44" s="11"/>
      <c r="N44" s="11"/>
      <c r="O44" s="11"/>
      <c r="P44" s="11"/>
      <c r="Q44" s="11"/>
      <c r="R44" s="11"/>
      <c r="S44" s="11"/>
      <c r="T44" s="11"/>
      <c r="U44" s="10" t="s">
        <v>258</v>
      </c>
      <c r="V44" s="9">
        <v>3.06</v>
      </c>
      <c r="W44" s="11"/>
      <c r="X44" s="12"/>
      <c r="Y44" s="12"/>
    </row>
    <row r="45" spans="2:25" x14ac:dyDescent="0.3">
      <c r="B45" s="11"/>
      <c r="C45" s="11"/>
      <c r="D45" s="11"/>
      <c r="E45" s="11"/>
      <c r="F45" s="11"/>
      <c r="G45" s="11"/>
      <c r="H45" s="11"/>
      <c r="I45" s="11"/>
      <c r="J45" s="11"/>
      <c r="K45" s="11"/>
      <c r="L45" s="11"/>
      <c r="M45" s="11"/>
      <c r="N45" s="11"/>
      <c r="O45" s="11"/>
      <c r="P45" s="11"/>
      <c r="Q45" s="11"/>
      <c r="R45" s="11"/>
      <c r="S45" s="11"/>
      <c r="T45" s="11"/>
      <c r="U45" s="8" t="s">
        <v>405</v>
      </c>
      <c r="V45" s="9">
        <v>3.85</v>
      </c>
      <c r="W45" s="11"/>
      <c r="X45" s="12"/>
      <c r="Y45" s="12"/>
    </row>
    <row r="46" spans="2:25" x14ac:dyDescent="0.3">
      <c r="B46" s="11"/>
      <c r="C46" s="11"/>
      <c r="D46" s="11"/>
      <c r="E46" s="11"/>
      <c r="F46" s="11"/>
      <c r="G46" s="11"/>
      <c r="H46" s="11"/>
      <c r="I46" s="11"/>
      <c r="J46" s="11"/>
      <c r="K46" s="11"/>
      <c r="L46" s="11"/>
      <c r="M46" s="11"/>
      <c r="N46" s="11"/>
      <c r="O46" s="11"/>
      <c r="P46" s="11"/>
      <c r="Q46" s="11"/>
      <c r="R46" s="11"/>
      <c r="S46" s="11"/>
      <c r="T46" s="11"/>
      <c r="U46" s="10" t="s">
        <v>406</v>
      </c>
      <c r="V46" s="9">
        <v>3.85</v>
      </c>
      <c r="W46" s="11"/>
      <c r="X46" s="12"/>
      <c r="Y46" s="12"/>
    </row>
    <row r="47" spans="2:25" x14ac:dyDescent="0.3">
      <c r="B47" s="11"/>
      <c r="C47" s="11"/>
      <c r="D47" s="11"/>
      <c r="E47" s="11"/>
      <c r="F47" s="11"/>
      <c r="G47" s="11"/>
      <c r="H47" s="11"/>
      <c r="I47" s="11"/>
      <c r="J47" s="11"/>
      <c r="K47" s="11"/>
      <c r="L47" s="11"/>
      <c r="M47" s="11"/>
      <c r="N47" s="11"/>
      <c r="O47" s="11"/>
      <c r="P47" s="11"/>
      <c r="Q47" s="11"/>
      <c r="R47" s="11"/>
      <c r="S47" s="11"/>
      <c r="T47" s="11"/>
      <c r="U47" s="8" t="s">
        <v>575</v>
      </c>
      <c r="V47" s="9">
        <v>4.4800000000000004</v>
      </c>
      <c r="W47" s="11"/>
      <c r="X47" s="12"/>
      <c r="Y47" s="12"/>
    </row>
    <row r="48" spans="2:25" x14ac:dyDescent="0.3">
      <c r="B48" s="11"/>
      <c r="C48" s="11"/>
      <c r="D48" s="11"/>
      <c r="E48" s="11"/>
      <c r="F48" s="11"/>
      <c r="G48" s="11"/>
      <c r="H48" s="11"/>
      <c r="I48" s="11"/>
      <c r="J48" s="11"/>
      <c r="K48" s="11"/>
      <c r="L48" s="11"/>
      <c r="M48" s="11"/>
      <c r="N48" s="11"/>
      <c r="O48" s="11"/>
      <c r="P48" s="11"/>
      <c r="Q48" s="11"/>
      <c r="R48" s="11"/>
      <c r="S48" s="11"/>
      <c r="T48" s="11"/>
      <c r="U48" s="10" t="s">
        <v>576</v>
      </c>
      <c r="V48" s="9">
        <v>4.4800000000000004</v>
      </c>
      <c r="W48" s="11"/>
      <c r="X48" s="12"/>
      <c r="Y48" s="12"/>
    </row>
    <row r="49" spans="2:25" x14ac:dyDescent="0.3">
      <c r="B49" s="11"/>
      <c r="C49" s="11"/>
      <c r="D49" s="11"/>
      <c r="E49" s="11"/>
      <c r="F49" s="11"/>
      <c r="G49" s="11"/>
      <c r="H49" s="11"/>
      <c r="I49" s="11"/>
      <c r="J49" s="11"/>
      <c r="K49" s="11"/>
      <c r="L49" s="11"/>
      <c r="M49" s="11"/>
      <c r="N49" s="11"/>
      <c r="O49" s="11"/>
      <c r="P49" s="11"/>
      <c r="Q49" s="11"/>
      <c r="R49" s="11"/>
      <c r="S49" s="11"/>
      <c r="T49" s="11"/>
      <c r="U49" s="8" t="s">
        <v>504</v>
      </c>
      <c r="V49" s="9">
        <v>5.66</v>
      </c>
      <c r="W49" s="11"/>
      <c r="X49" s="12"/>
      <c r="Y49" s="12"/>
    </row>
    <row r="50" spans="2:25" x14ac:dyDescent="0.3">
      <c r="B50" s="11"/>
      <c r="C50" s="11"/>
      <c r="D50" s="11"/>
      <c r="E50" s="11"/>
      <c r="F50" s="11"/>
      <c r="G50" s="11"/>
      <c r="H50" s="11"/>
      <c r="I50" s="11"/>
      <c r="J50" s="11"/>
      <c r="K50" s="11"/>
      <c r="L50" s="11"/>
      <c r="M50" s="11"/>
      <c r="N50" s="11"/>
      <c r="O50" s="11"/>
      <c r="P50" s="11"/>
      <c r="Q50" s="11"/>
      <c r="R50" s="11"/>
      <c r="S50" s="11"/>
      <c r="T50" s="11"/>
      <c r="U50" s="10" t="s">
        <v>505</v>
      </c>
      <c r="V50" s="9">
        <v>5.66</v>
      </c>
      <c r="W50" s="11"/>
      <c r="X50" s="12"/>
      <c r="Y50" s="12"/>
    </row>
    <row r="51" spans="2:25" x14ac:dyDescent="0.3">
      <c r="B51" s="11"/>
      <c r="C51" s="11"/>
      <c r="D51" s="11"/>
      <c r="E51" s="11"/>
      <c r="F51" s="11"/>
      <c r="G51" s="11"/>
      <c r="H51" s="11"/>
      <c r="I51" s="11"/>
      <c r="J51" s="11"/>
      <c r="K51" s="11"/>
      <c r="L51" s="11"/>
      <c r="M51" s="11"/>
      <c r="N51" s="11"/>
      <c r="O51" s="11"/>
      <c r="P51" s="11"/>
      <c r="Q51" s="11"/>
      <c r="R51" s="11"/>
      <c r="S51" s="11"/>
      <c r="T51" s="11"/>
      <c r="U51" s="8" t="s">
        <v>526</v>
      </c>
      <c r="V51" s="9">
        <v>3.39</v>
      </c>
      <c r="W51" s="11"/>
      <c r="X51" s="12"/>
      <c r="Y51" s="12"/>
    </row>
    <row r="52" spans="2:25" x14ac:dyDescent="0.3">
      <c r="B52" s="11"/>
      <c r="C52" s="11"/>
      <c r="D52" s="11"/>
      <c r="E52" s="11"/>
      <c r="F52" s="11"/>
      <c r="G52" s="11"/>
      <c r="H52" s="11"/>
      <c r="I52" s="11"/>
      <c r="J52" s="11"/>
      <c r="K52" s="11"/>
      <c r="L52" s="11"/>
      <c r="M52" s="11"/>
      <c r="N52" s="11"/>
      <c r="O52" s="11"/>
      <c r="P52" s="11"/>
      <c r="Q52" s="11"/>
      <c r="R52" s="11"/>
      <c r="S52" s="11"/>
      <c r="T52" s="11"/>
      <c r="U52" s="10" t="s">
        <v>527</v>
      </c>
      <c r="V52" s="9">
        <v>3.39</v>
      </c>
      <c r="W52" s="11"/>
      <c r="X52" s="12"/>
      <c r="Y52" s="12"/>
    </row>
    <row r="53" spans="2:25" x14ac:dyDescent="0.3">
      <c r="B53" s="11"/>
      <c r="C53" s="11"/>
      <c r="D53" s="11"/>
      <c r="E53" s="11"/>
      <c r="F53" s="11"/>
      <c r="G53" s="11"/>
      <c r="H53" s="11"/>
      <c r="I53" s="11"/>
      <c r="J53" s="11"/>
      <c r="K53" s="11"/>
      <c r="L53" s="11"/>
      <c r="M53" s="11"/>
      <c r="N53" s="11"/>
      <c r="O53" s="11"/>
      <c r="P53" s="11"/>
      <c r="Q53" s="11"/>
      <c r="R53" s="11"/>
      <c r="S53" s="11"/>
      <c r="T53" s="11"/>
      <c r="U53" s="8" t="s">
        <v>489</v>
      </c>
      <c r="V53" s="9">
        <v>9.1999999999999993</v>
      </c>
      <c r="W53" s="11"/>
      <c r="X53" s="12"/>
      <c r="Y53" s="12"/>
    </row>
    <row r="54" spans="2:25" x14ac:dyDescent="0.3">
      <c r="B54" s="11"/>
      <c r="C54" s="11"/>
      <c r="D54" s="11"/>
      <c r="E54" s="11"/>
      <c r="F54" s="11"/>
      <c r="G54" s="11"/>
      <c r="H54" s="11"/>
      <c r="I54" s="11"/>
      <c r="J54" s="11"/>
      <c r="K54" s="11"/>
      <c r="L54" s="11"/>
      <c r="M54" s="11"/>
      <c r="N54" s="11"/>
      <c r="O54" s="11"/>
      <c r="P54" s="11"/>
      <c r="Q54" s="11"/>
      <c r="R54" s="11"/>
      <c r="S54" s="11"/>
      <c r="T54" s="11"/>
      <c r="U54" s="10" t="s">
        <v>490</v>
      </c>
      <c r="V54" s="9">
        <v>9.1999999999999993</v>
      </c>
      <c r="W54" s="11"/>
      <c r="X54" s="12"/>
      <c r="Y54" s="12"/>
    </row>
    <row r="55" spans="2:25" x14ac:dyDescent="0.3">
      <c r="B55" s="11"/>
      <c r="C55" s="11"/>
      <c r="D55" s="11"/>
      <c r="E55" s="11"/>
      <c r="F55" s="11"/>
      <c r="G55" s="11"/>
      <c r="H55" s="11"/>
      <c r="I55" s="11"/>
      <c r="J55" s="11"/>
      <c r="K55" s="11"/>
      <c r="L55" s="11"/>
      <c r="M55" s="11"/>
      <c r="N55" s="11"/>
      <c r="O55" s="11"/>
      <c r="P55" s="11"/>
      <c r="Q55" s="11"/>
      <c r="R55" s="11"/>
      <c r="S55" s="11"/>
      <c r="T55" s="11"/>
      <c r="U55" s="8" t="s">
        <v>150</v>
      </c>
      <c r="V55" s="9">
        <v>4.53</v>
      </c>
      <c r="W55" s="11"/>
      <c r="X55" s="12"/>
      <c r="Y55" s="12"/>
    </row>
    <row r="56" spans="2:25" x14ac:dyDescent="0.3">
      <c r="B56" s="11"/>
      <c r="C56" s="11"/>
      <c r="D56" s="11"/>
      <c r="E56" s="11"/>
      <c r="F56" s="11"/>
      <c r="G56" s="11"/>
      <c r="H56" s="11"/>
      <c r="I56" s="11"/>
      <c r="J56" s="11"/>
      <c r="K56" s="11"/>
      <c r="L56" s="11"/>
      <c r="M56" s="11"/>
      <c r="N56" s="11"/>
      <c r="O56" s="11"/>
      <c r="P56" s="11"/>
      <c r="Q56" s="11"/>
      <c r="R56" s="11"/>
      <c r="S56" s="11"/>
      <c r="T56" s="11"/>
      <c r="U56" s="10" t="s">
        <v>151</v>
      </c>
      <c r="V56" s="9">
        <v>4.53</v>
      </c>
      <c r="W56" s="11"/>
      <c r="X56" s="12"/>
      <c r="Y56" s="12"/>
    </row>
    <row r="57" spans="2:25" x14ac:dyDescent="0.3">
      <c r="B57" s="11"/>
      <c r="C57" s="11"/>
      <c r="D57" s="11"/>
      <c r="E57" s="11"/>
      <c r="F57" s="11"/>
      <c r="G57" s="11"/>
      <c r="H57" s="11"/>
      <c r="I57" s="11"/>
      <c r="J57" s="11"/>
      <c r="K57" s="11"/>
      <c r="L57" s="11"/>
      <c r="M57" s="11"/>
      <c r="N57" s="11"/>
      <c r="O57" s="11"/>
      <c r="P57" s="11"/>
      <c r="Q57" s="11"/>
      <c r="R57" s="11"/>
      <c r="S57" s="11"/>
      <c r="T57" s="11"/>
      <c r="U57" s="8" t="s">
        <v>380</v>
      </c>
      <c r="V57" s="9">
        <v>5.57</v>
      </c>
      <c r="W57" s="11"/>
      <c r="X57" s="12"/>
      <c r="Y57" s="12"/>
    </row>
    <row r="58" spans="2:25" x14ac:dyDescent="0.3">
      <c r="B58" s="11"/>
      <c r="C58" s="11"/>
      <c r="D58" s="11"/>
      <c r="E58" s="11"/>
      <c r="F58" s="11"/>
      <c r="G58" s="11"/>
      <c r="H58" s="11"/>
      <c r="I58" s="11"/>
      <c r="J58" s="11"/>
      <c r="K58" s="11"/>
      <c r="L58" s="11"/>
      <c r="M58" s="11"/>
      <c r="N58" s="11"/>
      <c r="O58" s="11"/>
      <c r="P58" s="11"/>
      <c r="Q58" s="11"/>
      <c r="R58" s="11"/>
      <c r="S58" s="11"/>
      <c r="T58" s="11"/>
      <c r="U58" s="10" t="s">
        <v>381</v>
      </c>
      <c r="V58" s="9">
        <v>5.57</v>
      </c>
      <c r="W58" s="11"/>
      <c r="X58" s="12"/>
      <c r="Y58" s="12"/>
    </row>
    <row r="59" spans="2:25" x14ac:dyDescent="0.3">
      <c r="B59" s="11"/>
      <c r="C59" s="11"/>
      <c r="D59" s="11"/>
      <c r="E59" s="11"/>
      <c r="F59" s="11"/>
      <c r="G59" s="11"/>
      <c r="H59" s="11"/>
      <c r="I59" s="11"/>
      <c r="J59" s="11"/>
      <c r="K59" s="11"/>
      <c r="L59" s="11"/>
      <c r="M59" s="11"/>
      <c r="N59" s="11"/>
      <c r="O59" s="11"/>
      <c r="P59" s="11"/>
      <c r="Q59" s="11"/>
      <c r="R59" s="11"/>
      <c r="S59" s="11"/>
      <c r="T59" s="11"/>
      <c r="U59" s="8" t="s">
        <v>581</v>
      </c>
      <c r="V59" s="9">
        <v>60.550000000000004</v>
      </c>
      <c r="W59" s="11"/>
      <c r="X59" s="12"/>
      <c r="Y59" s="12"/>
    </row>
    <row r="60" spans="2:25" x14ac:dyDescent="0.3">
      <c r="B60" s="11"/>
      <c r="C60" s="11"/>
      <c r="D60" s="11"/>
      <c r="E60" s="11"/>
      <c r="F60" s="11"/>
      <c r="G60" s="11"/>
      <c r="H60" s="11"/>
      <c r="I60" s="11"/>
      <c r="J60" s="11"/>
      <c r="K60" s="11"/>
      <c r="L60" s="11"/>
      <c r="M60" s="11"/>
      <c r="N60" s="11"/>
      <c r="O60" s="11"/>
      <c r="P60" s="11"/>
      <c r="Q60" s="11"/>
      <c r="R60" s="11"/>
      <c r="S60" s="11"/>
      <c r="T60" s="11"/>
      <c r="U60" s="11"/>
      <c r="V60" s="11"/>
      <c r="W60" s="11"/>
      <c r="X60" s="12"/>
      <c r="Y60" s="12"/>
    </row>
    <row r="61" spans="2:25" x14ac:dyDescent="0.3">
      <c r="B61" s="11"/>
      <c r="C61" s="11"/>
      <c r="D61" s="11"/>
      <c r="E61" s="11"/>
      <c r="F61" s="11"/>
      <c r="G61" s="11"/>
      <c r="H61" s="11"/>
      <c r="I61" s="11"/>
      <c r="J61" s="11"/>
      <c r="K61" s="11"/>
      <c r="L61" s="11"/>
      <c r="M61" s="11"/>
      <c r="N61" s="11"/>
      <c r="O61" s="11"/>
      <c r="P61" s="11"/>
      <c r="Q61" s="11"/>
      <c r="R61" s="11"/>
      <c r="S61" s="11"/>
      <c r="T61" s="11"/>
      <c r="U61" s="11"/>
      <c r="V61" s="11"/>
      <c r="W61" s="11"/>
      <c r="X61" s="12"/>
      <c r="Y61" s="12"/>
    </row>
    <row r="62" spans="2:25" x14ac:dyDescent="0.3">
      <c r="B62" s="11"/>
      <c r="C62" s="11"/>
      <c r="D62" s="11"/>
      <c r="E62" s="11"/>
      <c r="F62" s="11"/>
      <c r="G62" s="11"/>
      <c r="H62" s="11"/>
      <c r="I62" s="11"/>
      <c r="J62" s="11"/>
      <c r="K62" s="11"/>
      <c r="L62" s="11"/>
      <c r="M62" s="11"/>
      <c r="N62" s="11"/>
      <c r="O62" s="11"/>
      <c r="P62" s="11"/>
      <c r="Q62" s="11"/>
      <c r="R62" s="11"/>
      <c r="S62" s="11"/>
      <c r="T62" s="11"/>
      <c r="U62" s="11"/>
      <c r="V62" s="11"/>
      <c r="W62" s="11"/>
      <c r="X62" s="12"/>
      <c r="Y62" s="12"/>
    </row>
    <row r="63" spans="2:25" x14ac:dyDescent="0.3">
      <c r="B63" s="11"/>
      <c r="C63" s="11"/>
      <c r="D63" s="11"/>
      <c r="E63" s="11"/>
      <c r="F63" s="11"/>
      <c r="G63" s="11"/>
      <c r="H63" s="11"/>
      <c r="I63" s="11"/>
      <c r="J63" s="11"/>
      <c r="K63" s="11"/>
      <c r="L63" s="11"/>
      <c r="M63" s="11"/>
      <c r="N63" s="11"/>
      <c r="O63" s="11"/>
      <c r="P63" s="11"/>
      <c r="Q63" s="11"/>
      <c r="R63" s="11"/>
      <c r="S63" s="11"/>
      <c r="T63" s="11"/>
      <c r="U63" s="11"/>
      <c r="V63" s="11"/>
      <c r="W63" s="11"/>
      <c r="X63" s="12"/>
      <c r="Y63" s="12"/>
    </row>
    <row r="64" spans="2:25" x14ac:dyDescent="0.3">
      <c r="B64" s="6"/>
      <c r="C64" s="6"/>
      <c r="D64" s="6"/>
      <c r="E64" s="6"/>
      <c r="F64" s="6"/>
      <c r="G64" s="6"/>
      <c r="H64" s="6"/>
      <c r="I64" s="6"/>
      <c r="J64" s="6"/>
      <c r="K64" s="6"/>
      <c r="L64" s="6"/>
      <c r="M64" s="6"/>
      <c r="N64" s="6"/>
      <c r="O64" s="6"/>
      <c r="P64" s="6"/>
      <c r="Q64" s="6"/>
      <c r="R64" s="6"/>
      <c r="S64" s="6"/>
      <c r="T64" s="6"/>
      <c r="U64" s="6"/>
      <c r="V64" s="6"/>
      <c r="W64" s="6"/>
      <c r="X64" s="12"/>
      <c r="Y64" s="12"/>
    </row>
    <row r="65" spans="2:25" x14ac:dyDescent="0.3">
      <c r="B65" s="6"/>
      <c r="C65" s="6"/>
      <c r="D65" s="6"/>
      <c r="E65" s="6"/>
      <c r="F65" s="6"/>
      <c r="G65" s="6"/>
      <c r="H65" s="6"/>
      <c r="I65" s="6"/>
      <c r="J65" s="6"/>
      <c r="K65" s="6"/>
      <c r="L65" s="6"/>
      <c r="M65" s="6"/>
      <c r="N65" s="6"/>
      <c r="O65" s="6"/>
      <c r="P65" s="6"/>
      <c r="Q65" s="6"/>
      <c r="R65" s="6"/>
      <c r="S65" s="6"/>
      <c r="T65" s="6"/>
      <c r="U65" s="6"/>
      <c r="V65" s="6"/>
      <c r="W65" s="6"/>
      <c r="X65" s="6"/>
      <c r="Y65" s="6"/>
    </row>
    <row r="66" spans="2:25" x14ac:dyDescent="0.3">
      <c r="B66" s="6"/>
      <c r="C66" s="6"/>
      <c r="D66" s="6"/>
      <c r="E66" s="6"/>
      <c r="F66" s="6"/>
      <c r="G66" s="6"/>
      <c r="H66" s="6"/>
      <c r="I66" s="6"/>
      <c r="J66" s="6"/>
      <c r="K66" s="6"/>
      <c r="L66" s="6"/>
      <c r="M66" s="6"/>
      <c r="N66" s="6"/>
      <c r="O66" s="6"/>
      <c r="P66" s="6"/>
      <c r="Q66" s="6"/>
      <c r="R66" s="6"/>
      <c r="S66" s="6"/>
      <c r="T66" s="6"/>
      <c r="U66" s="6"/>
      <c r="V66" s="6"/>
      <c r="W66" s="6"/>
      <c r="X66" s="6"/>
      <c r="Y66" s="6"/>
    </row>
    <row r="67" spans="2:25" x14ac:dyDescent="0.3">
      <c r="B67" s="6"/>
      <c r="C67" s="6"/>
      <c r="D67" s="6"/>
      <c r="E67" s="6"/>
      <c r="F67" s="6"/>
      <c r="G67" s="6"/>
      <c r="H67" s="6"/>
      <c r="I67" s="6"/>
      <c r="J67" s="6"/>
      <c r="K67" s="6"/>
      <c r="L67" s="6"/>
      <c r="M67" s="6"/>
      <c r="N67" s="6"/>
      <c r="O67" s="6"/>
      <c r="P67" s="6"/>
      <c r="Q67" s="6"/>
      <c r="R67" s="6"/>
      <c r="S67" s="6"/>
      <c r="T67" s="6"/>
      <c r="U67" s="6"/>
      <c r="V67" s="6"/>
      <c r="W67" s="6"/>
      <c r="X67" s="6"/>
      <c r="Y67" s="6"/>
    </row>
    <row r="68" spans="2:25" x14ac:dyDescent="0.3">
      <c r="B68" s="6"/>
      <c r="C68" s="6"/>
      <c r="D68" s="6"/>
      <c r="E68" s="6"/>
      <c r="F68" s="6"/>
      <c r="G68" s="6"/>
      <c r="H68" s="6"/>
      <c r="I68" s="6"/>
      <c r="J68" s="6"/>
      <c r="K68" s="6"/>
      <c r="L68" s="6"/>
      <c r="M68" s="6"/>
      <c r="N68" s="6"/>
      <c r="O68" s="6"/>
      <c r="P68" s="6"/>
      <c r="Q68" s="6"/>
      <c r="R68" s="6"/>
      <c r="S68" s="6"/>
      <c r="T68" s="6"/>
      <c r="U68" s="6"/>
      <c r="V68" s="6"/>
      <c r="W68" s="6"/>
      <c r="X68" s="6"/>
      <c r="Y68" s="6"/>
    </row>
    <row r="69" spans="2:25" x14ac:dyDescent="0.3">
      <c r="B69" s="6"/>
      <c r="C69" s="6"/>
      <c r="D69" s="6"/>
      <c r="E69" s="6"/>
      <c r="F69" s="6"/>
      <c r="G69" s="6"/>
      <c r="H69" s="6"/>
      <c r="I69" s="6"/>
      <c r="J69" s="6"/>
      <c r="K69" s="6"/>
      <c r="L69" s="6"/>
      <c r="M69" s="6"/>
      <c r="N69" s="6"/>
      <c r="O69" s="6"/>
      <c r="P69" s="6"/>
      <c r="Q69" s="6"/>
      <c r="R69" s="6"/>
      <c r="S69" s="6"/>
      <c r="T69" s="6"/>
      <c r="U69" s="6"/>
      <c r="V69" s="6"/>
      <c r="W69" s="6"/>
      <c r="X69" s="6"/>
      <c r="Y69" s="6"/>
    </row>
    <row r="70" spans="2:25" x14ac:dyDescent="0.3">
      <c r="B70" s="6"/>
      <c r="C70" s="6"/>
      <c r="D70" s="6"/>
      <c r="E70" s="6"/>
      <c r="F70" s="6"/>
      <c r="G70" s="6"/>
      <c r="H70" s="6"/>
      <c r="I70" s="6"/>
      <c r="J70" s="6"/>
      <c r="K70" s="6"/>
      <c r="L70" s="6"/>
      <c r="M70" s="6"/>
      <c r="N70" s="6"/>
      <c r="O70" s="6"/>
      <c r="P70" s="6"/>
      <c r="Q70" s="6"/>
      <c r="R70" s="6"/>
      <c r="S70" s="6"/>
      <c r="T70" s="6"/>
      <c r="U70" s="6"/>
      <c r="V70" s="6"/>
      <c r="W70" s="6"/>
      <c r="X70" s="6"/>
      <c r="Y70" s="6"/>
    </row>
    <row r="71" spans="2:25" x14ac:dyDescent="0.3">
      <c r="B71" s="6"/>
      <c r="C71" s="6"/>
      <c r="D71" s="6"/>
      <c r="E71" s="6"/>
      <c r="F71" s="6"/>
      <c r="G71" s="6"/>
      <c r="H71" s="6"/>
      <c r="I71" s="6"/>
      <c r="J71" s="6"/>
      <c r="K71" s="6"/>
      <c r="L71" s="6"/>
      <c r="M71" s="6"/>
      <c r="N71" s="6"/>
      <c r="O71" s="6"/>
      <c r="P71" s="6"/>
      <c r="Q71" s="6"/>
      <c r="R71" s="6"/>
      <c r="S71" s="6"/>
      <c r="T71" s="6"/>
      <c r="U71" s="6"/>
      <c r="V71" s="6"/>
      <c r="W71" s="6"/>
      <c r="X71" s="6"/>
      <c r="Y71" s="6"/>
    </row>
    <row r="72" spans="2:25" x14ac:dyDescent="0.3">
      <c r="B72" s="6"/>
      <c r="C72" s="6"/>
      <c r="D72" s="6"/>
      <c r="E72" s="6"/>
      <c r="F72" s="6"/>
      <c r="G72" s="6"/>
      <c r="H72" s="6"/>
      <c r="I72" s="6"/>
      <c r="J72" s="6"/>
      <c r="K72" s="6"/>
      <c r="L72" s="6"/>
      <c r="M72" s="6"/>
      <c r="N72" s="6"/>
      <c r="O72" s="6"/>
      <c r="P72" s="6"/>
      <c r="Q72" s="6"/>
      <c r="R72" s="6"/>
      <c r="S72" s="6"/>
      <c r="T72" s="6"/>
      <c r="U72" s="6"/>
      <c r="V72" s="6"/>
      <c r="W72" s="6"/>
      <c r="X72" s="6"/>
      <c r="Y72" s="6"/>
    </row>
    <row r="73" spans="2:25" x14ac:dyDescent="0.3">
      <c r="B73" s="6"/>
      <c r="C73" s="6"/>
      <c r="D73" s="6"/>
      <c r="E73" s="6"/>
      <c r="F73" s="6"/>
      <c r="G73" s="6"/>
      <c r="H73" s="6"/>
      <c r="I73" s="6"/>
      <c r="J73" s="6"/>
      <c r="K73" s="6"/>
      <c r="L73" s="6"/>
      <c r="M73" s="6"/>
      <c r="N73" s="6"/>
      <c r="O73" s="6"/>
      <c r="P73" s="6"/>
      <c r="Q73" s="6"/>
      <c r="R73" s="6"/>
      <c r="S73" s="6"/>
      <c r="T73" s="6"/>
      <c r="U73" s="6"/>
      <c r="V73" s="6"/>
      <c r="W73" s="6"/>
      <c r="X73" s="6"/>
      <c r="Y73" s="6"/>
    </row>
    <row r="74" spans="2:25" x14ac:dyDescent="0.3">
      <c r="B74" s="6"/>
      <c r="C74" s="6"/>
      <c r="D74" s="6"/>
      <c r="E74" s="6"/>
      <c r="F74" s="6"/>
      <c r="G74" s="6"/>
      <c r="H74" s="6"/>
      <c r="I74" s="6"/>
      <c r="J74" s="6"/>
      <c r="K74" s="6"/>
      <c r="L74" s="6"/>
      <c r="M74" s="6"/>
      <c r="N74" s="6"/>
      <c r="O74" s="6"/>
      <c r="P74" s="6"/>
      <c r="Q74" s="6"/>
      <c r="R74" s="6"/>
      <c r="S74" s="6"/>
      <c r="T74" s="6"/>
      <c r="U74" s="6"/>
      <c r="V74" s="6"/>
      <c r="W74" s="6"/>
      <c r="X74" s="6"/>
      <c r="Y74" s="6"/>
    </row>
    <row r="75" spans="2:25" x14ac:dyDescent="0.3">
      <c r="B75" s="6"/>
      <c r="C75" s="6"/>
      <c r="D75" s="6"/>
      <c r="E75" s="6"/>
      <c r="F75" s="6"/>
      <c r="G75" s="6"/>
      <c r="H75" s="6"/>
      <c r="I75" s="6"/>
      <c r="J75" s="6"/>
      <c r="K75" s="6"/>
      <c r="L75" s="6"/>
      <c r="M75" s="6"/>
      <c r="N75" s="6"/>
      <c r="O75" s="6"/>
      <c r="P75" s="6"/>
      <c r="Q75" s="6"/>
      <c r="R75" s="6"/>
      <c r="S75" s="6"/>
      <c r="T75" s="6"/>
      <c r="U75" s="6"/>
      <c r="V75" s="6"/>
      <c r="W75" s="6"/>
      <c r="X75" s="6"/>
      <c r="Y75" s="6"/>
    </row>
    <row r="76" spans="2:25" x14ac:dyDescent="0.3">
      <c r="B76" s="6"/>
      <c r="C76" s="6"/>
      <c r="D76" s="6"/>
      <c r="E76" s="6"/>
      <c r="F76" s="6"/>
      <c r="G76" s="6"/>
      <c r="H76" s="6"/>
      <c r="I76" s="6"/>
      <c r="J76" s="6"/>
      <c r="K76" s="6"/>
      <c r="L76" s="6"/>
      <c r="M76" s="6"/>
      <c r="N76" s="6"/>
      <c r="O76" s="6"/>
      <c r="P76" s="6"/>
      <c r="Q76" s="6"/>
      <c r="R76" s="6"/>
      <c r="S76" s="6"/>
      <c r="T76" s="6"/>
      <c r="U76" s="6"/>
      <c r="V76" s="6"/>
      <c r="W76" s="6"/>
      <c r="X76" s="6"/>
      <c r="Y76" s="6"/>
    </row>
    <row r="77" spans="2:25" x14ac:dyDescent="0.3">
      <c r="B77" s="6"/>
      <c r="C77" s="6"/>
      <c r="D77" s="6"/>
      <c r="E77" s="6"/>
      <c r="F77" s="6"/>
      <c r="G77" s="6"/>
      <c r="H77" s="6"/>
      <c r="I77" s="6"/>
      <c r="J77" s="6"/>
      <c r="K77" s="6"/>
      <c r="L77" s="6"/>
      <c r="M77" s="6"/>
      <c r="N77" s="6"/>
      <c r="O77" s="6"/>
      <c r="P77" s="6"/>
      <c r="Q77" s="6"/>
      <c r="R77" s="6"/>
      <c r="S77" s="6"/>
      <c r="T77" s="6"/>
      <c r="U77" s="6"/>
      <c r="V77" s="6"/>
      <c r="W77" s="6"/>
      <c r="X77" s="6"/>
      <c r="Y77" s="6"/>
    </row>
    <row r="78" spans="2:25" x14ac:dyDescent="0.3">
      <c r="B78" s="6"/>
      <c r="C78" s="6"/>
      <c r="D78" s="6"/>
      <c r="E78" s="6"/>
      <c r="F78" s="6"/>
      <c r="G78" s="6"/>
      <c r="H78" s="6"/>
      <c r="I78" s="6"/>
      <c r="J78" s="6"/>
      <c r="K78" s="6"/>
      <c r="L78" s="6"/>
      <c r="M78" s="6"/>
      <c r="N78" s="6"/>
      <c r="O78" s="6"/>
      <c r="P78" s="6"/>
      <c r="Q78" s="6"/>
      <c r="R78" s="6"/>
      <c r="S78" s="6"/>
      <c r="T78" s="6"/>
      <c r="U78" s="6"/>
      <c r="V78" s="6"/>
      <c r="W78" s="6"/>
      <c r="X78" s="6"/>
      <c r="Y78" s="6"/>
    </row>
    <row r="79" spans="2:25" x14ac:dyDescent="0.3">
      <c r="B79" s="6"/>
      <c r="C79" s="6"/>
      <c r="D79" s="6"/>
      <c r="E79" s="6"/>
      <c r="F79" s="6"/>
      <c r="G79" s="6"/>
      <c r="H79" s="6"/>
      <c r="I79" s="6"/>
      <c r="J79" s="6"/>
      <c r="K79" s="6"/>
      <c r="L79" s="6"/>
      <c r="M79" s="6"/>
      <c r="N79" s="6"/>
      <c r="O79" s="6"/>
      <c r="P79" s="6"/>
      <c r="Q79" s="6"/>
      <c r="R79" s="6"/>
      <c r="S79" s="6"/>
      <c r="T79" s="6"/>
      <c r="U79" s="6"/>
      <c r="V79" s="6"/>
      <c r="W79" s="6"/>
      <c r="X79" s="6"/>
      <c r="Y79" s="6"/>
    </row>
    <row r="80" spans="2:25" x14ac:dyDescent="0.3">
      <c r="B80" s="6"/>
      <c r="C80" s="6"/>
      <c r="D80" s="6"/>
      <c r="E80" s="6"/>
      <c r="F80" s="6"/>
      <c r="G80" s="6"/>
      <c r="H80" s="6"/>
      <c r="I80" s="6"/>
      <c r="J80" s="6"/>
      <c r="K80" s="6"/>
      <c r="L80" s="6"/>
      <c r="M80" s="6"/>
      <c r="N80" s="6"/>
      <c r="O80" s="6"/>
      <c r="P80" s="6"/>
      <c r="Q80" s="6"/>
      <c r="R80" s="6"/>
      <c r="S80" s="6"/>
      <c r="T80" s="6"/>
      <c r="U80" s="6"/>
      <c r="V80" s="6"/>
      <c r="W80" s="6"/>
      <c r="X80" s="6"/>
      <c r="Y80" s="6"/>
    </row>
    <row r="81" spans="2:25" x14ac:dyDescent="0.3">
      <c r="B81" s="6"/>
      <c r="C81" s="6"/>
      <c r="D81" s="6"/>
      <c r="E81" s="6"/>
      <c r="F81" s="6"/>
      <c r="G81" s="6"/>
      <c r="H81" s="6"/>
      <c r="I81" s="6"/>
      <c r="J81" s="6"/>
      <c r="K81" s="6"/>
      <c r="L81" s="6"/>
      <c r="M81" s="6"/>
      <c r="N81" s="6"/>
      <c r="O81" s="6"/>
      <c r="P81" s="6"/>
      <c r="Q81" s="6"/>
      <c r="R81" s="6"/>
      <c r="S81" s="6"/>
      <c r="T81" s="6"/>
      <c r="U81" s="6"/>
      <c r="V81" s="6"/>
      <c r="W81" s="6"/>
      <c r="X81" s="6"/>
      <c r="Y81" s="6"/>
    </row>
    <row r="82" spans="2:25" x14ac:dyDescent="0.3">
      <c r="B82" s="6"/>
      <c r="C82" s="6"/>
      <c r="D82" s="6"/>
      <c r="E82" s="6"/>
      <c r="F82" s="6"/>
      <c r="G82" s="6"/>
      <c r="H82" s="6"/>
      <c r="I82" s="6"/>
      <c r="J82" s="6"/>
      <c r="K82" s="6"/>
      <c r="L82" s="6"/>
      <c r="M82" s="6"/>
      <c r="N82" s="6"/>
      <c r="O82" s="6"/>
      <c r="P82" s="6"/>
      <c r="Q82" s="6"/>
      <c r="R82" s="6"/>
      <c r="S82" s="6"/>
      <c r="T82" s="6"/>
      <c r="U82" s="6"/>
      <c r="V82" s="6"/>
      <c r="W82" s="6"/>
      <c r="X82" s="6"/>
      <c r="Y82" s="6"/>
    </row>
    <row r="83" spans="2:25" x14ac:dyDescent="0.3">
      <c r="B83" s="6"/>
      <c r="C83" s="6"/>
      <c r="D83" s="6"/>
      <c r="E83" s="6"/>
      <c r="F83" s="6"/>
      <c r="G83" s="6"/>
      <c r="H83" s="6"/>
      <c r="I83" s="6"/>
      <c r="J83" s="6"/>
      <c r="K83" s="6"/>
      <c r="L83" s="6"/>
      <c r="M83" s="6"/>
      <c r="N83" s="6"/>
      <c r="O83" s="6"/>
      <c r="P83" s="6"/>
      <c r="Q83" s="6"/>
      <c r="R83" s="6"/>
      <c r="S83" s="6"/>
      <c r="T83" s="6"/>
      <c r="U83" s="6"/>
      <c r="V83" s="6"/>
      <c r="W83" s="6"/>
      <c r="X83" s="6"/>
      <c r="Y83" s="6"/>
    </row>
    <row r="84" spans="2:25" x14ac:dyDescent="0.3">
      <c r="B84" s="6"/>
      <c r="C84" s="6"/>
      <c r="D84" s="6"/>
      <c r="E84" s="6"/>
      <c r="F84" s="6"/>
      <c r="G84" s="6"/>
      <c r="H84" s="6"/>
      <c r="I84" s="6"/>
      <c r="J84" s="6"/>
      <c r="K84" s="6"/>
      <c r="L84" s="6"/>
      <c r="M84" s="6"/>
      <c r="N84" s="6"/>
      <c r="O84" s="6"/>
      <c r="P84" s="6"/>
      <c r="Q84" s="6"/>
      <c r="R84" s="6"/>
      <c r="S84" s="6"/>
      <c r="T84" s="6"/>
      <c r="U84" s="6"/>
      <c r="V84" s="6"/>
      <c r="W84" s="6"/>
      <c r="X84" s="6"/>
      <c r="Y84" s="6"/>
    </row>
    <row r="85" spans="2:25" x14ac:dyDescent="0.3">
      <c r="B85" s="6"/>
      <c r="C85" s="6"/>
      <c r="D85" s="6"/>
      <c r="E85" s="6"/>
      <c r="F85" s="6"/>
      <c r="G85" s="6"/>
      <c r="H85" s="6"/>
      <c r="I85" s="6"/>
      <c r="J85" s="6"/>
      <c r="K85" s="6"/>
      <c r="L85" s="6"/>
      <c r="M85" s="6"/>
      <c r="N85" s="6"/>
      <c r="O85" s="6"/>
      <c r="P85" s="6"/>
      <c r="Q85" s="6"/>
      <c r="R85" s="6"/>
      <c r="S85" s="6"/>
      <c r="T85" s="6"/>
      <c r="U85" s="6"/>
      <c r="V85" s="6"/>
      <c r="W85" s="6"/>
      <c r="X85" s="6"/>
      <c r="Y85" s="6"/>
    </row>
    <row r="86" spans="2:25" x14ac:dyDescent="0.3">
      <c r="B86" s="6"/>
      <c r="C86" s="6"/>
      <c r="D86" s="6"/>
      <c r="E86" s="6"/>
      <c r="F86" s="6"/>
      <c r="G86" s="6"/>
      <c r="H86" s="6"/>
      <c r="I86" s="6"/>
      <c r="J86" s="6"/>
      <c r="K86" s="6"/>
      <c r="L86" s="6"/>
      <c r="M86" s="6"/>
      <c r="N86" s="6"/>
      <c r="O86" s="6"/>
      <c r="P86" s="6"/>
      <c r="Q86" s="6"/>
      <c r="R86" s="6"/>
      <c r="S86" s="6"/>
      <c r="T86" s="6"/>
      <c r="U86" s="6"/>
      <c r="V86" s="6"/>
      <c r="W86" s="6"/>
      <c r="X86" s="6"/>
      <c r="Y86" s="6"/>
    </row>
    <row r="87" spans="2:25" x14ac:dyDescent="0.3">
      <c r="B87" s="6"/>
      <c r="C87" s="6"/>
      <c r="D87" s="6"/>
      <c r="E87" s="6"/>
      <c r="F87" s="6"/>
      <c r="G87" s="6"/>
      <c r="H87" s="6"/>
      <c r="I87" s="6"/>
      <c r="J87" s="6"/>
      <c r="K87" s="6"/>
      <c r="L87" s="6"/>
      <c r="M87" s="6"/>
      <c r="N87" s="6"/>
      <c r="O87" s="6"/>
      <c r="P87" s="6"/>
      <c r="Q87" s="6"/>
      <c r="R87" s="6"/>
      <c r="S87" s="6"/>
      <c r="T87" s="6"/>
      <c r="U87" s="6"/>
      <c r="V87" s="6"/>
      <c r="W87" s="6"/>
      <c r="X87" s="6"/>
      <c r="Y87" s="6"/>
    </row>
    <row r="88" spans="2:25" x14ac:dyDescent="0.3">
      <c r="B88" s="6"/>
      <c r="C88" s="6"/>
      <c r="D88" s="6"/>
      <c r="E88" s="6"/>
      <c r="F88" s="6"/>
      <c r="G88" s="6"/>
      <c r="H88" s="6"/>
      <c r="I88" s="6"/>
      <c r="J88" s="6"/>
      <c r="K88" s="6"/>
      <c r="L88" s="6"/>
      <c r="M88" s="6"/>
      <c r="N88" s="6"/>
      <c r="O88" s="6"/>
      <c r="P88" s="6"/>
      <c r="Q88" s="6"/>
      <c r="R88" s="6"/>
      <c r="S88" s="6"/>
      <c r="T88" s="6"/>
      <c r="U88" s="6"/>
      <c r="V88" s="6"/>
      <c r="W88" s="6"/>
      <c r="X88" s="6"/>
      <c r="Y88" s="6"/>
    </row>
    <row r="89" spans="2:25" x14ac:dyDescent="0.3">
      <c r="B89" s="6"/>
      <c r="C89" s="6"/>
      <c r="D89" s="6"/>
      <c r="E89" s="6"/>
      <c r="F89" s="6"/>
      <c r="G89" s="6"/>
      <c r="H89" s="6"/>
      <c r="I89" s="6"/>
      <c r="J89" s="6"/>
      <c r="K89" s="6"/>
      <c r="L89" s="6"/>
      <c r="M89" s="6"/>
      <c r="N89" s="6"/>
      <c r="O89" s="6"/>
      <c r="P89" s="6"/>
      <c r="Q89" s="6"/>
      <c r="R89" s="6"/>
      <c r="S89" s="6"/>
      <c r="T89" s="6"/>
      <c r="U89" s="6"/>
      <c r="V89" s="6"/>
      <c r="W89" s="6"/>
      <c r="X89" s="6"/>
      <c r="Y89" s="6"/>
    </row>
    <row r="90" spans="2:25" x14ac:dyDescent="0.3">
      <c r="B90" s="6"/>
      <c r="C90" s="6"/>
      <c r="D90" s="6"/>
      <c r="E90" s="6"/>
      <c r="F90" s="6"/>
      <c r="G90" s="6"/>
      <c r="H90" s="6"/>
      <c r="I90" s="6"/>
      <c r="J90" s="6"/>
      <c r="K90" s="6"/>
      <c r="L90" s="6"/>
      <c r="M90" s="6"/>
      <c r="N90" s="6"/>
      <c r="O90" s="6"/>
      <c r="P90" s="6"/>
      <c r="Q90" s="6"/>
      <c r="R90" s="6"/>
      <c r="S90" s="6"/>
      <c r="T90" s="6"/>
      <c r="U90" s="6"/>
      <c r="V90" s="6"/>
      <c r="W90" s="6"/>
      <c r="X90" s="6"/>
      <c r="Y90" s="6"/>
    </row>
    <row r="91" spans="2:25" x14ac:dyDescent="0.3">
      <c r="B91" s="6"/>
      <c r="C91" s="6"/>
      <c r="D91" s="6"/>
      <c r="E91" s="6"/>
      <c r="F91" s="6"/>
      <c r="G91" s="6"/>
      <c r="H91" s="6"/>
      <c r="I91" s="6"/>
      <c r="J91" s="6"/>
      <c r="K91" s="6"/>
      <c r="L91" s="6"/>
      <c r="M91" s="6"/>
      <c r="N91" s="6"/>
      <c r="O91" s="6"/>
      <c r="P91" s="6"/>
      <c r="Q91" s="6"/>
      <c r="R91" s="6"/>
      <c r="S91" s="6"/>
      <c r="T91" s="6"/>
      <c r="U91" s="6"/>
      <c r="V91" s="6"/>
      <c r="W91" s="6"/>
      <c r="X91" s="6"/>
      <c r="Y91" s="6"/>
    </row>
    <row r="92" spans="2:25" x14ac:dyDescent="0.3">
      <c r="B92" s="6"/>
      <c r="C92" s="6"/>
      <c r="D92" s="6"/>
      <c r="E92" s="6"/>
      <c r="F92" s="6"/>
      <c r="G92" s="6"/>
      <c r="H92" s="6"/>
      <c r="I92" s="6"/>
      <c r="J92" s="6"/>
      <c r="K92" s="6"/>
      <c r="L92" s="6"/>
      <c r="M92" s="6"/>
      <c r="N92" s="6"/>
      <c r="O92" s="6"/>
      <c r="P92" s="6"/>
      <c r="Q92" s="6"/>
      <c r="R92" s="6"/>
      <c r="S92" s="6"/>
      <c r="T92" s="6"/>
      <c r="U92" s="6"/>
      <c r="V92" s="6"/>
      <c r="W92" s="6"/>
      <c r="X92" s="6"/>
      <c r="Y92" s="6"/>
    </row>
    <row r="93" spans="2:25" x14ac:dyDescent="0.3">
      <c r="B93" s="6"/>
      <c r="C93" s="6"/>
      <c r="D93" s="6"/>
      <c r="E93" s="6"/>
      <c r="F93" s="6"/>
      <c r="G93" s="6"/>
      <c r="H93" s="6"/>
      <c r="I93" s="6"/>
      <c r="J93" s="6"/>
      <c r="K93" s="6"/>
      <c r="L93" s="6"/>
      <c r="M93" s="6"/>
      <c r="N93" s="6"/>
      <c r="O93" s="6"/>
      <c r="P93" s="6"/>
      <c r="Q93" s="6"/>
      <c r="R93" s="6"/>
      <c r="S93" s="6"/>
      <c r="T93" s="6"/>
      <c r="U93" s="6"/>
      <c r="V93" s="6"/>
      <c r="W93" s="6"/>
      <c r="X93" s="6"/>
      <c r="Y93" s="6"/>
    </row>
    <row r="94" spans="2:25" x14ac:dyDescent="0.3">
      <c r="B94" s="6"/>
      <c r="C94" s="6"/>
      <c r="D94" s="6"/>
      <c r="E94" s="6"/>
      <c r="F94" s="6"/>
      <c r="G94" s="6"/>
      <c r="H94" s="6"/>
      <c r="I94" s="6"/>
      <c r="J94" s="6"/>
      <c r="K94" s="6"/>
      <c r="L94" s="6"/>
      <c r="M94" s="6"/>
      <c r="N94" s="6"/>
      <c r="O94" s="6"/>
      <c r="P94" s="6"/>
      <c r="Q94" s="6"/>
      <c r="R94" s="6"/>
      <c r="S94" s="6"/>
      <c r="T94" s="6"/>
      <c r="U94" s="6"/>
      <c r="V94" s="6"/>
      <c r="W94" s="6"/>
      <c r="X94" s="6"/>
      <c r="Y94" s="6"/>
    </row>
    <row r="95" spans="2:25" x14ac:dyDescent="0.3">
      <c r="B95" s="6"/>
      <c r="C95" s="6"/>
      <c r="D95" s="6"/>
      <c r="E95" s="6"/>
      <c r="F95" s="6"/>
      <c r="G95" s="6"/>
      <c r="H95" s="6"/>
      <c r="I95" s="6"/>
      <c r="J95" s="6"/>
      <c r="K95" s="6"/>
      <c r="L95" s="6"/>
      <c r="M95" s="6"/>
      <c r="N95" s="6"/>
      <c r="O95" s="6"/>
      <c r="P95" s="6"/>
      <c r="Q95" s="6"/>
      <c r="R95" s="6"/>
      <c r="S95" s="6"/>
      <c r="T95" s="6"/>
      <c r="U95" s="6"/>
      <c r="V95" s="6"/>
      <c r="W95" s="6"/>
      <c r="X95" s="6"/>
      <c r="Y95" s="6"/>
    </row>
    <row r="96" spans="2:25" x14ac:dyDescent="0.3">
      <c r="B96" s="6"/>
      <c r="C96" s="6"/>
      <c r="D96" s="6"/>
      <c r="E96" s="6"/>
      <c r="F96" s="6"/>
      <c r="G96" s="6"/>
      <c r="H96" s="6"/>
      <c r="I96" s="6"/>
      <c r="J96" s="6"/>
      <c r="K96" s="6"/>
      <c r="L96" s="6"/>
      <c r="M96" s="6"/>
      <c r="N96" s="6"/>
      <c r="O96" s="6"/>
      <c r="P96" s="6"/>
      <c r="Q96" s="6"/>
      <c r="R96" s="6"/>
      <c r="S96" s="6"/>
      <c r="T96" s="6"/>
      <c r="U96" s="6"/>
      <c r="V96" s="6"/>
      <c r="W96" s="6"/>
      <c r="X96" s="6"/>
      <c r="Y96" s="6"/>
    </row>
    <row r="97" spans="2:25" x14ac:dyDescent="0.3">
      <c r="B97" s="6"/>
      <c r="C97" s="6"/>
      <c r="D97" s="6"/>
      <c r="E97" s="6"/>
      <c r="F97" s="6"/>
      <c r="G97" s="6"/>
      <c r="H97" s="6"/>
      <c r="I97" s="6"/>
      <c r="J97" s="6"/>
      <c r="K97" s="6"/>
      <c r="L97" s="6"/>
      <c r="M97" s="6"/>
      <c r="N97" s="6"/>
      <c r="O97" s="6"/>
      <c r="P97" s="6"/>
      <c r="Q97" s="6"/>
      <c r="R97" s="6"/>
      <c r="S97" s="6"/>
      <c r="T97" s="6"/>
      <c r="U97" s="6"/>
      <c r="V97" s="6"/>
      <c r="W97" s="6"/>
      <c r="X97" s="6"/>
      <c r="Y97" s="6"/>
    </row>
    <row r="98" spans="2:25" x14ac:dyDescent="0.3">
      <c r="B98" s="6"/>
      <c r="C98" s="6"/>
      <c r="D98" s="6"/>
      <c r="E98" s="6"/>
      <c r="F98" s="6"/>
      <c r="G98" s="6"/>
      <c r="H98" s="6"/>
      <c r="I98" s="6"/>
      <c r="J98" s="6"/>
      <c r="K98" s="6"/>
      <c r="L98" s="6"/>
      <c r="M98" s="6"/>
      <c r="N98" s="6"/>
      <c r="O98" s="6"/>
      <c r="P98" s="6"/>
      <c r="Q98" s="6"/>
      <c r="R98" s="6"/>
      <c r="S98" s="6"/>
      <c r="T98" s="6"/>
      <c r="U98" s="6"/>
      <c r="V98" s="6"/>
      <c r="W98" s="6"/>
      <c r="X98" s="6"/>
      <c r="Y98" s="6"/>
    </row>
    <row r="99" spans="2:25" x14ac:dyDescent="0.3">
      <c r="B99" s="6"/>
      <c r="C99" s="6"/>
      <c r="D99" s="6"/>
      <c r="E99" s="6"/>
      <c r="F99" s="6"/>
      <c r="G99" s="6"/>
      <c r="H99" s="6"/>
      <c r="I99" s="6"/>
      <c r="J99" s="6"/>
      <c r="K99" s="6"/>
      <c r="L99" s="6"/>
      <c r="M99" s="6"/>
      <c r="N99" s="6"/>
      <c r="O99" s="6"/>
      <c r="P99" s="6"/>
      <c r="Q99" s="6"/>
      <c r="R99" s="6"/>
      <c r="S99" s="6"/>
      <c r="T99" s="6"/>
      <c r="U99" s="6"/>
      <c r="V99" s="6"/>
      <c r="W99" s="6"/>
      <c r="X99" s="6"/>
      <c r="Y99" s="6"/>
    </row>
    <row r="100" spans="2:25" x14ac:dyDescent="0.3">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2:25" x14ac:dyDescent="0.3">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2:25" x14ac:dyDescent="0.3">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2:25" x14ac:dyDescent="0.3">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2:25" x14ac:dyDescent="0.3">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2:25" x14ac:dyDescent="0.3">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2:25" x14ac:dyDescent="0.3">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2:25" x14ac:dyDescent="0.3">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2:25" x14ac:dyDescent="0.3">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2:25" x14ac:dyDescent="0.3">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2:25" x14ac:dyDescent="0.3">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2:25" x14ac:dyDescent="0.3">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2:25" x14ac:dyDescent="0.3">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2:25" x14ac:dyDescent="0.3">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2:25" x14ac:dyDescent="0.3">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2:25" x14ac:dyDescent="0.3">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2:25" x14ac:dyDescent="0.3">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2:25" x14ac:dyDescent="0.3">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2:25" x14ac:dyDescent="0.3">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2:25" x14ac:dyDescent="0.3">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2:25" x14ac:dyDescent="0.3">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2:25" x14ac:dyDescent="0.3">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2:25" x14ac:dyDescent="0.3">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2:25" x14ac:dyDescent="0.3">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2:25" x14ac:dyDescent="0.3">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2:25" x14ac:dyDescent="0.3">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2:25" x14ac:dyDescent="0.3">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2:25" x14ac:dyDescent="0.3">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2:25" x14ac:dyDescent="0.3">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2:25" x14ac:dyDescent="0.3">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2:25" x14ac:dyDescent="0.3">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2:25" x14ac:dyDescent="0.3">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2:25" x14ac:dyDescent="0.3">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2:25" x14ac:dyDescent="0.3">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2:25" x14ac:dyDescent="0.3">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2:25" x14ac:dyDescent="0.3">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2:25" x14ac:dyDescent="0.3">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2:25" x14ac:dyDescent="0.3">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2:25" x14ac:dyDescent="0.3">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2:25" x14ac:dyDescent="0.3">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2:25" x14ac:dyDescent="0.3">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2:25" x14ac:dyDescent="0.3">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2:25" x14ac:dyDescent="0.3">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2:25" x14ac:dyDescent="0.3">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2:25" x14ac:dyDescent="0.3">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2:25" x14ac:dyDescent="0.3">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2:25" x14ac:dyDescent="0.3">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2:25" x14ac:dyDescent="0.3">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2:25" x14ac:dyDescent="0.3">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2:25" x14ac:dyDescent="0.3">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2:25" x14ac:dyDescent="0.3">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2:25" x14ac:dyDescent="0.3">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2:25" x14ac:dyDescent="0.3">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2:25" x14ac:dyDescent="0.3">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2:25" x14ac:dyDescent="0.3">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2:25" x14ac:dyDescent="0.3">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2:25" x14ac:dyDescent="0.3">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2:25" x14ac:dyDescent="0.3">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2:25" x14ac:dyDescent="0.3">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2:25" x14ac:dyDescent="0.3">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2:25" x14ac:dyDescent="0.3">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2:25" x14ac:dyDescent="0.3">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2:25" x14ac:dyDescent="0.3">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2:25" x14ac:dyDescent="0.3">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2:25" x14ac:dyDescent="0.3">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2:25" x14ac:dyDescent="0.3">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2:25" x14ac:dyDescent="0.3">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2:25" x14ac:dyDescent="0.3">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2:25" x14ac:dyDescent="0.3">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2:25" x14ac:dyDescent="0.3">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2:25" x14ac:dyDescent="0.3">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2:25" x14ac:dyDescent="0.3">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2:25" x14ac:dyDescent="0.3">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2:25" x14ac:dyDescent="0.3">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2:25" x14ac:dyDescent="0.3">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2:25" x14ac:dyDescent="0.3">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2:25" x14ac:dyDescent="0.3">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2:25" x14ac:dyDescent="0.3">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2:25" x14ac:dyDescent="0.3">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2:25" x14ac:dyDescent="0.3">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2:25" x14ac:dyDescent="0.3">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2:25" x14ac:dyDescent="0.3">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2:25" x14ac:dyDescent="0.3">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2:25" x14ac:dyDescent="0.3">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2:25" x14ac:dyDescent="0.3">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2:25" x14ac:dyDescent="0.3">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2:25" x14ac:dyDescent="0.3">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2:25" x14ac:dyDescent="0.3">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2:25" x14ac:dyDescent="0.3">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2:25" x14ac:dyDescent="0.3">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2:25" x14ac:dyDescent="0.3">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2:25" x14ac:dyDescent="0.3">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2:25" x14ac:dyDescent="0.3">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2:25" x14ac:dyDescent="0.3">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2:25" x14ac:dyDescent="0.3">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2:25" x14ac:dyDescent="0.3">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2:25" x14ac:dyDescent="0.3">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2:25" x14ac:dyDescent="0.3">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2:25" x14ac:dyDescent="0.3">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2:25" x14ac:dyDescent="0.3">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2:25" x14ac:dyDescent="0.3">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2:25" x14ac:dyDescent="0.3">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2:25" x14ac:dyDescent="0.3">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2:25" x14ac:dyDescent="0.3">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2:25" x14ac:dyDescent="0.3">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2:25" x14ac:dyDescent="0.3">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2:25" x14ac:dyDescent="0.3">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2:25" x14ac:dyDescent="0.3">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2:25" x14ac:dyDescent="0.3">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2:25" x14ac:dyDescent="0.3">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2:25" x14ac:dyDescent="0.3">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2:25" x14ac:dyDescent="0.3">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2:25" x14ac:dyDescent="0.3">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2:25" x14ac:dyDescent="0.3">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2:25" x14ac:dyDescent="0.3">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2:25" x14ac:dyDescent="0.3">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2:25" x14ac:dyDescent="0.3">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2:25" x14ac:dyDescent="0.3">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2:25" x14ac:dyDescent="0.3">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2:25" x14ac:dyDescent="0.3">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2:25" x14ac:dyDescent="0.3">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2:25" x14ac:dyDescent="0.3">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2:25" x14ac:dyDescent="0.3">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2:25" x14ac:dyDescent="0.3">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2:25" x14ac:dyDescent="0.3">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2:25" x14ac:dyDescent="0.3">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2:25" x14ac:dyDescent="0.3">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2:25" x14ac:dyDescent="0.3">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2:25" x14ac:dyDescent="0.3">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2:25" x14ac:dyDescent="0.3">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2:25" x14ac:dyDescent="0.3">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2:25" x14ac:dyDescent="0.3">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2:25" x14ac:dyDescent="0.3">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2:25" x14ac:dyDescent="0.3">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2:25" x14ac:dyDescent="0.3">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2:25" x14ac:dyDescent="0.3">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2:25" x14ac:dyDescent="0.3">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2:25" x14ac:dyDescent="0.3">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2:25" x14ac:dyDescent="0.3">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2:25" x14ac:dyDescent="0.3">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2:25" x14ac:dyDescent="0.3">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2:25" x14ac:dyDescent="0.3">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2:25" x14ac:dyDescent="0.3">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2:25" x14ac:dyDescent="0.3">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2:25" x14ac:dyDescent="0.3">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2:25" x14ac:dyDescent="0.3">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2:25" x14ac:dyDescent="0.3">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2:25" x14ac:dyDescent="0.3">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2:25" x14ac:dyDescent="0.3">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2:25" x14ac:dyDescent="0.3">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2:25" x14ac:dyDescent="0.3">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2:25" x14ac:dyDescent="0.3">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2:25" x14ac:dyDescent="0.3">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2:25" x14ac:dyDescent="0.3">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2:25" x14ac:dyDescent="0.3">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2:25" x14ac:dyDescent="0.3">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2:25" x14ac:dyDescent="0.3">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2:25" x14ac:dyDescent="0.3">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2:25" x14ac:dyDescent="0.3">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2:25" x14ac:dyDescent="0.3">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2:25" x14ac:dyDescent="0.3">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2:25" x14ac:dyDescent="0.3">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2:25" x14ac:dyDescent="0.3">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2:25" x14ac:dyDescent="0.3">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2:25" x14ac:dyDescent="0.3">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2:25" x14ac:dyDescent="0.3">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2:25" x14ac:dyDescent="0.3">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2:25" x14ac:dyDescent="0.3">
      <c r="B267" s="6"/>
      <c r="C267" s="6"/>
      <c r="D267" s="6"/>
      <c r="E267" s="6"/>
      <c r="F267" s="6"/>
      <c r="G267" s="6"/>
      <c r="H267" s="6"/>
      <c r="I267" s="6"/>
      <c r="J267" s="6"/>
      <c r="K267" s="6"/>
      <c r="L267" s="6"/>
      <c r="M267" s="6"/>
      <c r="N267" s="6"/>
      <c r="O267" s="6"/>
      <c r="P267" s="6"/>
      <c r="Q267" s="6"/>
      <c r="R267" s="6"/>
      <c r="S267" s="6"/>
      <c r="T267" s="6"/>
      <c r="U267" s="6"/>
      <c r="V267" s="6"/>
      <c r="W267" s="6"/>
      <c r="X267" s="6"/>
      <c r="Y267" s="6"/>
    </row>
  </sheetData>
  <conditionalFormatting sqref="U40:U59">
    <cfRule type="dataBar" priority="11">
      <dataBar>
        <cfvo type="min"/>
        <cfvo type="max"/>
        <color rgb="FF63C384"/>
      </dataBar>
      <extLst>
        <ext xmlns:x14="http://schemas.microsoft.com/office/spreadsheetml/2009/9/main" uri="{B025F937-C7B1-47D3-B67F-A62EFF666E3E}">
          <x14:id>{2C90637D-EC62-4385-9CA6-812AE7EF51DB}</x14:id>
        </ext>
      </extLst>
    </cfRule>
  </conditionalFormatting>
  <conditionalFormatting sqref="U40:U59">
    <cfRule type="dataBar" priority="10">
      <dataBar>
        <cfvo type="min"/>
        <cfvo type="max"/>
        <color rgb="FF63C384"/>
      </dataBar>
      <extLst>
        <ext xmlns:x14="http://schemas.microsoft.com/office/spreadsheetml/2009/9/main" uri="{B025F937-C7B1-47D3-B67F-A62EFF666E3E}">
          <x14:id>{FC38213B-2DB7-4526-9F62-5FC3B96A6DC3}</x14:id>
        </ext>
      </extLst>
    </cfRule>
  </conditionalFormatting>
  <conditionalFormatting sqref="U40:U59">
    <cfRule type="dataBar" priority="9">
      <dataBar>
        <cfvo type="min"/>
        <cfvo type="max"/>
        <color rgb="FF63C384"/>
      </dataBar>
      <extLst>
        <ext xmlns:x14="http://schemas.microsoft.com/office/spreadsheetml/2009/9/main" uri="{B025F937-C7B1-47D3-B67F-A62EFF666E3E}">
          <x14:id>{64B7FC6E-D675-4F0F-8C8A-567CA230256A}</x14:id>
        </ext>
      </extLst>
    </cfRule>
  </conditionalFormatting>
  <conditionalFormatting sqref="U42">
    <cfRule type="dataBar" priority="8">
      <dataBar>
        <cfvo type="min"/>
        <cfvo type="max"/>
        <color rgb="FF63C384"/>
      </dataBar>
      <extLst>
        <ext xmlns:x14="http://schemas.microsoft.com/office/spreadsheetml/2009/9/main" uri="{B025F937-C7B1-47D3-B67F-A62EFF666E3E}">
          <x14:id>{F66FEE8C-C8D6-4F2E-97D7-4B5A9D4C2620}</x14:id>
        </ext>
      </extLst>
    </cfRule>
  </conditionalFormatting>
  <conditionalFormatting sqref="U40:U59">
    <cfRule type="dataBar" priority="7">
      <dataBar>
        <cfvo type="min"/>
        <cfvo type="max"/>
        <color rgb="FF63C384"/>
      </dataBar>
      <extLst>
        <ext xmlns:x14="http://schemas.microsoft.com/office/spreadsheetml/2009/9/main" uri="{B025F937-C7B1-47D3-B67F-A62EFF666E3E}">
          <x14:id>{BB9B66E9-CE82-4BE6-BDA6-53EB998B8F24}</x14:id>
        </ext>
      </extLst>
    </cfRule>
  </conditionalFormatting>
  <conditionalFormatting sqref="U40:U59">
    <cfRule type="dataBar" priority="5">
      <dataBar>
        <cfvo type="min"/>
        <cfvo type="max"/>
        <color rgb="FFFF555A"/>
      </dataBar>
      <extLst>
        <ext xmlns:x14="http://schemas.microsoft.com/office/spreadsheetml/2009/9/main" uri="{B025F937-C7B1-47D3-B67F-A62EFF666E3E}">
          <x14:id>{87E5B9EF-6F0E-46F8-BEB6-AFC21D798705}</x14:id>
        </ext>
      </extLst>
    </cfRule>
  </conditionalFormatting>
  <conditionalFormatting sqref="U60:V60">
    <cfRule type="dataBar" priority="4">
      <dataBar>
        <cfvo type="min"/>
        <cfvo type="max"/>
        <color rgb="FFFF555A"/>
      </dataBar>
      <extLst>
        <ext xmlns:x14="http://schemas.microsoft.com/office/spreadsheetml/2009/9/main" uri="{B025F937-C7B1-47D3-B67F-A62EFF666E3E}">
          <x14:id>{A3F692C1-341B-49CF-80D5-78570ECF9A22}</x14:id>
        </ext>
      </extLst>
    </cfRule>
  </conditionalFormatting>
  <conditionalFormatting sqref="U40:U41 U43 U45 U47 U49 U51 U53 U55 U57">
    <cfRule type="dataBar" priority="3">
      <dataBar>
        <cfvo type="min"/>
        <cfvo type="max"/>
        <color rgb="FFFF555A"/>
      </dataBar>
      <extLst>
        <ext xmlns:x14="http://schemas.microsoft.com/office/spreadsheetml/2009/9/main" uri="{B025F937-C7B1-47D3-B67F-A62EFF666E3E}">
          <x14:id>{A2115150-02A4-41C0-9195-E5EC766A4C5E}</x14:id>
        </ext>
      </extLst>
    </cfRule>
  </conditionalFormatting>
  <conditionalFormatting sqref="U40:U58">
    <cfRule type="dataBar" priority="2">
      <dataBar>
        <cfvo type="min"/>
        <cfvo type="max"/>
        <color rgb="FFFF555A"/>
      </dataBar>
      <extLst>
        <ext xmlns:x14="http://schemas.microsoft.com/office/spreadsheetml/2009/9/main" uri="{B025F937-C7B1-47D3-B67F-A62EFF666E3E}">
          <x14:id>{43012ACB-4CE9-49AC-8FC2-3BA716C04CF3}</x14:id>
        </ext>
      </extLst>
    </cfRule>
  </conditionalFormatting>
  <conditionalFormatting sqref="U40:V58">
    <cfRule type="dataBar" priority="1">
      <dataBar>
        <cfvo type="min"/>
        <cfvo type="max"/>
        <color rgb="FFD6007B"/>
      </dataBar>
      <extLst>
        <ext xmlns:x14="http://schemas.microsoft.com/office/spreadsheetml/2009/9/main" uri="{B025F937-C7B1-47D3-B67F-A62EFF666E3E}">
          <x14:id>{54F1497D-328D-49F7-98E3-A5CA84216C5D}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2C90637D-EC62-4385-9CA6-812AE7EF51DB}">
            <x14:dataBar minLength="0" maxLength="100" border="1" negativeBarBorderColorSameAsPositive="0">
              <x14:cfvo type="autoMin"/>
              <x14:cfvo type="autoMax"/>
              <x14:borderColor rgb="FF63C384"/>
              <x14:negativeFillColor rgb="FFFF0000"/>
              <x14:negativeBorderColor rgb="FFFF0000"/>
              <x14:axisColor rgb="FF000000"/>
            </x14:dataBar>
          </x14:cfRule>
          <xm:sqref>U40:U59</xm:sqref>
        </x14:conditionalFormatting>
        <x14:conditionalFormatting xmlns:xm="http://schemas.microsoft.com/office/excel/2006/main">
          <x14:cfRule type="dataBar" id="{FC38213B-2DB7-4526-9F62-5FC3B96A6DC3}">
            <x14:dataBar minLength="0" maxLength="100" gradient="0">
              <x14:cfvo type="autoMin"/>
              <x14:cfvo type="autoMax"/>
              <x14:negativeFillColor rgb="FFFF0000"/>
              <x14:axisColor rgb="FF000000"/>
            </x14:dataBar>
          </x14:cfRule>
          <xm:sqref>U40:U59</xm:sqref>
        </x14:conditionalFormatting>
        <x14:conditionalFormatting xmlns:xm="http://schemas.microsoft.com/office/excel/2006/main">
          <x14:cfRule type="dataBar" id="{64B7FC6E-D675-4F0F-8C8A-567CA230256A}">
            <x14:dataBar minLength="0" maxLength="100" gradient="0">
              <x14:cfvo type="autoMin"/>
              <x14:cfvo type="autoMax"/>
              <x14:negativeFillColor rgb="FFFF0000"/>
              <x14:axisColor rgb="FF000000"/>
            </x14:dataBar>
          </x14:cfRule>
          <xm:sqref>U40:U59</xm:sqref>
        </x14:conditionalFormatting>
        <x14:conditionalFormatting xmlns:xm="http://schemas.microsoft.com/office/excel/2006/main">
          <x14:cfRule type="dataBar" id="{F66FEE8C-C8D6-4F2E-97D7-4B5A9D4C2620}">
            <x14:dataBar minLength="0" maxLength="100" gradient="0">
              <x14:cfvo type="autoMin"/>
              <x14:cfvo type="autoMax"/>
              <x14:negativeFillColor rgb="FFFF0000"/>
              <x14:axisColor rgb="FF000000"/>
            </x14:dataBar>
          </x14:cfRule>
          <xm:sqref>U42</xm:sqref>
        </x14:conditionalFormatting>
        <x14:conditionalFormatting xmlns:xm="http://schemas.microsoft.com/office/excel/2006/main">
          <x14:cfRule type="dataBar" id="{BB9B66E9-CE82-4BE6-BDA6-53EB998B8F24}">
            <x14:dataBar minLength="0" maxLength="100" gradient="0">
              <x14:cfvo type="autoMin"/>
              <x14:cfvo type="autoMax"/>
              <x14:negativeFillColor rgb="FFFF0000"/>
              <x14:axisColor rgb="FF000000"/>
            </x14:dataBar>
          </x14:cfRule>
          <xm:sqref>U40:U59</xm:sqref>
        </x14:conditionalFormatting>
        <x14:conditionalFormatting xmlns:xm="http://schemas.microsoft.com/office/excel/2006/main">
          <x14:cfRule type="dataBar" id="{87E5B9EF-6F0E-46F8-BEB6-AFC21D798705}">
            <x14:dataBar minLength="0" maxLength="100" border="1" negativeBarBorderColorSameAsPositive="0">
              <x14:cfvo type="autoMin"/>
              <x14:cfvo type="autoMax"/>
              <x14:borderColor rgb="FFFF555A"/>
              <x14:negativeFillColor rgb="FFFF0000"/>
              <x14:negativeBorderColor rgb="FFFF0000"/>
              <x14:axisColor rgb="FF000000"/>
            </x14:dataBar>
          </x14:cfRule>
          <xm:sqref>U40:U59</xm:sqref>
        </x14:conditionalFormatting>
        <x14:conditionalFormatting xmlns:xm="http://schemas.microsoft.com/office/excel/2006/main">
          <x14:cfRule type="dataBar" id="{A3F692C1-341B-49CF-80D5-78570ECF9A22}">
            <x14:dataBar minLength="0" maxLength="100" border="1" negativeBarBorderColorSameAsPositive="0">
              <x14:cfvo type="autoMin"/>
              <x14:cfvo type="autoMax"/>
              <x14:borderColor rgb="FFFF555A"/>
              <x14:negativeFillColor rgb="FFFF0000"/>
              <x14:negativeBorderColor rgb="FFFF0000"/>
              <x14:axisColor rgb="FF000000"/>
            </x14:dataBar>
          </x14:cfRule>
          <xm:sqref>U60:V60</xm:sqref>
        </x14:conditionalFormatting>
        <x14:conditionalFormatting xmlns:xm="http://schemas.microsoft.com/office/excel/2006/main">
          <x14:cfRule type="dataBar" id="{A2115150-02A4-41C0-9195-E5EC766A4C5E}">
            <x14:dataBar minLength="0" maxLength="100" border="1" negativeBarBorderColorSameAsPositive="0">
              <x14:cfvo type="autoMin"/>
              <x14:cfvo type="autoMax"/>
              <x14:borderColor rgb="FFFF555A"/>
              <x14:negativeFillColor rgb="FFFF0000"/>
              <x14:negativeBorderColor rgb="FFFF0000"/>
              <x14:axisColor rgb="FF000000"/>
            </x14:dataBar>
          </x14:cfRule>
          <xm:sqref>U40:U41 U43 U45 U47 U49 U51 U53 U55 U57</xm:sqref>
        </x14:conditionalFormatting>
        <x14:conditionalFormatting xmlns:xm="http://schemas.microsoft.com/office/excel/2006/main">
          <x14:cfRule type="dataBar" id="{43012ACB-4CE9-49AC-8FC2-3BA716C04CF3}">
            <x14:dataBar minLength="0" maxLength="100" border="1" negativeBarBorderColorSameAsPositive="0">
              <x14:cfvo type="autoMin"/>
              <x14:cfvo type="autoMax"/>
              <x14:borderColor rgb="FFFF555A"/>
              <x14:negativeFillColor rgb="FFFF0000"/>
              <x14:negativeBorderColor rgb="FFFF0000"/>
              <x14:axisColor rgb="FF000000"/>
            </x14:dataBar>
          </x14:cfRule>
          <xm:sqref>U40:U58</xm:sqref>
        </x14:conditionalFormatting>
        <x14:conditionalFormatting xmlns:xm="http://schemas.microsoft.com/office/excel/2006/main">
          <x14:cfRule type="dataBar" id="{54F1497D-328D-49F7-98E3-A5CA84216C5D}">
            <x14:dataBar minLength="0" maxLength="100" border="1" negativeBarBorderColorSameAsPositive="0">
              <x14:cfvo type="autoMin"/>
              <x14:cfvo type="autoMax"/>
              <x14:borderColor rgb="FFD6007B"/>
              <x14:negativeFillColor rgb="FFFF0000"/>
              <x14:negativeBorderColor rgb="FFFF0000"/>
              <x14:axisColor rgb="FF000000"/>
            </x14:dataBar>
          </x14:cfRule>
          <xm:sqref>U40:V58</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pane ySplit="1" topLeftCell="A2" activePane="bottomLeft" state="frozen"/>
      <selection pane="bottomLeft" activeCell="G1" sqref="G1"/>
    </sheetView>
  </sheetViews>
  <sheetFormatPr defaultRowHeight="14.4" x14ac:dyDescent="0.3"/>
  <cols>
    <col min="1" max="1" width="45.33203125" bestFit="1" customWidth="1"/>
    <col min="2" max="2" width="12.5546875" bestFit="1" customWidth="1"/>
    <col min="3" max="3" width="12.33203125" customWidth="1"/>
    <col min="4" max="4" width="15" customWidth="1"/>
    <col min="5" max="5" width="12.6640625" customWidth="1"/>
    <col min="6" max="6" width="14.33203125" customWidth="1"/>
    <col min="7" max="7" width="18" customWidth="1"/>
    <col min="8" max="8" width="12" bestFit="1" customWidth="1"/>
    <col min="9" max="9" width="10.109375" bestFit="1" customWidth="1"/>
  </cols>
  <sheetData>
    <row r="1" spans="1:10" s="1" customFormat="1" x14ac:dyDescent="0.3">
      <c r="A1" s="1" t="s">
        <v>0</v>
      </c>
      <c r="B1" s="1" t="s">
        <v>1</v>
      </c>
      <c r="C1" s="1" t="s">
        <v>2</v>
      </c>
      <c r="D1" s="1" t="s">
        <v>3</v>
      </c>
      <c r="E1" s="1" t="s">
        <v>4</v>
      </c>
      <c r="F1" s="1" t="s">
        <v>5</v>
      </c>
      <c r="G1" s="1" t="s">
        <v>6</v>
      </c>
      <c r="H1" s="1" t="s">
        <v>577</v>
      </c>
      <c r="I1" s="1" t="s">
        <v>578</v>
      </c>
      <c r="J1" s="1" t="s">
        <v>579</v>
      </c>
    </row>
    <row r="2" spans="1:10" x14ac:dyDescent="0.3">
      <c r="A2" t="s">
        <v>517</v>
      </c>
      <c r="B2" t="s">
        <v>518</v>
      </c>
      <c r="C2">
        <v>2.7020000000000001E-4</v>
      </c>
      <c r="D2">
        <v>0.63</v>
      </c>
      <c r="E2">
        <v>1260000</v>
      </c>
      <c r="F2">
        <v>23570</v>
      </c>
      <c r="G2">
        <v>4680000000</v>
      </c>
      <c r="H2">
        <f>IFERROR(Sheet1[[#This Row],[Volume (24h)]]/Sheet1[[#This Row],[Circulating Supply]],0)</f>
        <v>33.101412608053977</v>
      </c>
      <c r="I2">
        <f>RANK(Table2[[#This Row],[Market Cap]],Table2[Market Cap],0)</f>
        <v>269</v>
      </c>
      <c r="J2" t="str">
        <f t="shared" ref="J2:J65" si="0">IF(C2&lt;=0.5,"0-0.5",
IF(C2&lt;=1,"0.5-1",
IF(C2&lt;=2,"1-2",
IF(C2&lt;=10,"2-10",
IF(C2&lt;=100,"10-100",
IF(C2&lt;=10000,"100-10000",
"10000+"))))))</f>
        <v>0-0.5</v>
      </c>
    </row>
    <row r="3" spans="1:10" x14ac:dyDescent="0.3">
      <c r="A3" t="s">
        <v>230</v>
      </c>
      <c r="B3" t="s">
        <v>231</v>
      </c>
      <c r="C3">
        <v>0.40110000000000001</v>
      </c>
      <c r="D3">
        <v>0.2</v>
      </c>
      <c r="E3">
        <v>15540000</v>
      </c>
      <c r="F3">
        <v>84600</v>
      </c>
      <c r="G3">
        <v>38740000</v>
      </c>
      <c r="H3">
        <f>IFERROR(Sheet1[[#This Row],[Volume (24h)]]/Sheet1[[#This Row],[Circulating Supply]],0)</f>
        <v>1544.865403788634</v>
      </c>
      <c r="I3">
        <f>RANK(Table2[[#This Row],[Market Cap]],Table2[Market Cap],0)</f>
        <v>117</v>
      </c>
      <c r="J3" t="str">
        <f t="shared" si="0"/>
        <v>0-0.5</v>
      </c>
    </row>
    <row r="4" spans="1:10" x14ac:dyDescent="0.3">
      <c r="A4" t="s">
        <v>403</v>
      </c>
      <c r="B4" t="s">
        <v>404</v>
      </c>
      <c r="C4">
        <v>479.08</v>
      </c>
      <c r="D4">
        <v>0.3</v>
      </c>
      <c r="E4">
        <v>3280000</v>
      </c>
      <c r="F4">
        <v>4740000</v>
      </c>
      <c r="G4">
        <v>6840</v>
      </c>
      <c r="H4">
        <f>IFERROR(Sheet1[[#This Row],[Volume (24h)]]/Sheet1[[#This Row],[Circulating Supply]],0)</f>
        <v>87.504143188597951</v>
      </c>
      <c r="I4">
        <f>RANK(Table2[[#This Row],[Market Cap]],Table2[Market Cap],0)</f>
        <v>204</v>
      </c>
      <c r="J4" t="str">
        <f t="shared" si="0"/>
        <v>100-10000</v>
      </c>
    </row>
    <row r="5" spans="1:10" x14ac:dyDescent="0.3">
      <c r="A5" t="s">
        <v>36</v>
      </c>
      <c r="B5" t="s">
        <v>37</v>
      </c>
      <c r="C5">
        <v>6.2690999999999997E-2</v>
      </c>
      <c r="D5">
        <v>0.82</v>
      </c>
      <c r="E5">
        <v>266440000</v>
      </c>
      <c r="F5">
        <v>6580000</v>
      </c>
      <c r="G5">
        <v>990100000000000</v>
      </c>
      <c r="H5">
        <f>IFERROR(Sheet1[[#This Row],[Volume (24h)]]/Sheet1[[#This Row],[Circulating Supply]],0)</f>
        <v>0.30917795549752464</v>
      </c>
      <c r="I5">
        <f>RANK(Table2[[#This Row],[Market Cap]],Table2[Market Cap],0)</f>
        <v>30</v>
      </c>
      <c r="J5" t="str">
        <f t="shared" si="0"/>
        <v>0-0.5</v>
      </c>
    </row>
    <row r="6" spans="1:10" x14ac:dyDescent="0.3">
      <c r="A6" t="s">
        <v>270</v>
      </c>
      <c r="B6" t="s">
        <v>271</v>
      </c>
      <c r="C6">
        <v>5.2350000000000001E-3</v>
      </c>
      <c r="D6">
        <v>0.02</v>
      </c>
      <c r="E6">
        <v>9340000</v>
      </c>
      <c r="F6">
        <v>1330000</v>
      </c>
      <c r="G6">
        <v>1780000000</v>
      </c>
      <c r="H6">
        <f>IFERROR(Sheet1[[#This Row],[Volume (24h)]]/Sheet1[[#This Row],[Circulating Supply]],0)</f>
        <v>9.237008110543707</v>
      </c>
      <c r="I6">
        <f>RANK(Table2[[#This Row],[Market Cap]],Table2[Market Cap],0)</f>
        <v>138</v>
      </c>
      <c r="J6" t="str">
        <f t="shared" si="0"/>
        <v>0-0.5</v>
      </c>
    </row>
    <row r="7" spans="1:10" x14ac:dyDescent="0.3">
      <c r="A7" t="s">
        <v>368</v>
      </c>
      <c r="B7" t="s">
        <v>369</v>
      </c>
      <c r="C7">
        <v>1.5399999999999999E-3</v>
      </c>
      <c r="D7">
        <v>0.01</v>
      </c>
      <c r="E7">
        <v>4270000</v>
      </c>
      <c r="F7">
        <v>44.18</v>
      </c>
      <c r="G7">
        <v>2770000000</v>
      </c>
      <c r="H7">
        <f>IFERROR(Sheet1[[#This Row],[Volume (24h)]]/Sheet1[[#This Row],[Circulating Supply]],0)</f>
        <v>0.13608562691131498</v>
      </c>
      <c r="I7">
        <f>RANK(Table2[[#This Row],[Market Cap]],Table2[Market Cap],0)</f>
        <v>189</v>
      </c>
      <c r="J7" t="str">
        <f t="shared" si="0"/>
        <v>0-0.5</v>
      </c>
    </row>
    <row r="8" spans="1:10" x14ac:dyDescent="0.3">
      <c r="A8" t="s">
        <v>425</v>
      </c>
      <c r="B8" t="s">
        <v>426</v>
      </c>
      <c r="C8">
        <v>9.5829999999999995E-3</v>
      </c>
      <c r="D8">
        <v>2.42</v>
      </c>
      <c r="E8">
        <v>2550000</v>
      </c>
      <c r="F8">
        <v>156510</v>
      </c>
      <c r="G8">
        <v>266770000</v>
      </c>
      <c r="H8">
        <f>IFERROR(Sheet1[[#This Row],[Volume (24h)]]/Sheet1[[#This Row],[Circulating Supply]],0)</f>
        <v>1.8551095474172396E-2</v>
      </c>
      <c r="I8">
        <f>RANK(Table2[[#This Row],[Market Cap]],Table2[Market Cap],0)</f>
        <v>221</v>
      </c>
      <c r="J8" t="str">
        <f t="shared" si="0"/>
        <v>0-0.5</v>
      </c>
    </row>
    <row r="9" spans="1:10" x14ac:dyDescent="0.3">
      <c r="A9" t="s">
        <v>447</v>
      </c>
      <c r="B9" t="s">
        <v>448</v>
      </c>
      <c r="C9">
        <v>121.88</v>
      </c>
      <c r="D9">
        <v>0.18</v>
      </c>
      <c r="E9">
        <v>2020000</v>
      </c>
      <c r="F9">
        <v>1290000</v>
      </c>
      <c r="G9">
        <v>16590</v>
      </c>
      <c r="H9">
        <f>IFERROR(Sheet1[[#This Row],[Volume (24h)]]/Sheet1[[#This Row],[Circulating Supply]],0)</f>
        <v>2.7772986027255477</v>
      </c>
      <c r="I9">
        <f>RANK(Table2[[#This Row],[Market Cap]],Table2[Market Cap],0)</f>
        <v>232</v>
      </c>
      <c r="J9" t="str">
        <f t="shared" si="0"/>
        <v>100-10000</v>
      </c>
    </row>
    <row r="10" spans="1:10" x14ac:dyDescent="0.3">
      <c r="A10" t="s">
        <v>396</v>
      </c>
      <c r="B10" t="s">
        <v>397</v>
      </c>
      <c r="C10">
        <v>123.11</v>
      </c>
      <c r="D10">
        <v>0.16</v>
      </c>
      <c r="E10">
        <v>3280000</v>
      </c>
      <c r="F10">
        <v>1810000</v>
      </c>
      <c r="G10">
        <v>26710</v>
      </c>
      <c r="H10">
        <f>IFERROR(Sheet1[[#This Row],[Volume (24h)]]/Sheet1[[#This Row],[Circulating Supply]],0)</f>
        <v>4.9885118043844854E-3</v>
      </c>
      <c r="I10">
        <f>RANK(Table2[[#This Row],[Market Cap]],Table2[Market Cap],0)</f>
        <v>204</v>
      </c>
      <c r="J10" t="str">
        <f t="shared" si="0"/>
        <v>100-10000</v>
      </c>
    </row>
    <row r="11" spans="1:10" x14ac:dyDescent="0.3">
      <c r="A11" t="s">
        <v>106</v>
      </c>
      <c r="B11" t="s">
        <v>107</v>
      </c>
      <c r="C11">
        <v>0.27189999999999998</v>
      </c>
      <c r="D11">
        <v>0.76</v>
      </c>
      <c r="E11">
        <v>54510000</v>
      </c>
      <c r="F11">
        <v>24540000</v>
      </c>
      <c r="G11">
        <v>200500000</v>
      </c>
      <c r="H11">
        <f>IFERROR(Sheet1[[#This Row],[Volume (24h)]]/Sheet1[[#This Row],[Circulating Supply]],0)</f>
        <v>1.5278228840746169</v>
      </c>
      <c r="I11">
        <f>RANK(Table2[[#This Row],[Market Cap]],Table2[Market Cap],0)</f>
        <v>54</v>
      </c>
      <c r="J11" t="str">
        <f t="shared" si="0"/>
        <v>0-0.5</v>
      </c>
    </row>
    <row r="12" spans="1:10" x14ac:dyDescent="0.3">
      <c r="A12" t="s">
        <v>342</v>
      </c>
      <c r="B12" t="s">
        <v>343</v>
      </c>
      <c r="C12">
        <v>7.6429999999999998E-2</v>
      </c>
      <c r="D12">
        <v>0.19</v>
      </c>
      <c r="E12">
        <v>5630000</v>
      </c>
      <c r="F12">
        <v>806990</v>
      </c>
      <c r="G12">
        <v>73730000</v>
      </c>
      <c r="H12">
        <f>IFERROR(Sheet1[[#This Row],[Volume (24h)]]/Sheet1[[#This Row],[Circulating Supply]],0)</f>
        <v>3.68783000643915E-3</v>
      </c>
      <c r="I12">
        <f>RANK(Table2[[#This Row],[Market Cap]],Table2[Market Cap],0)</f>
        <v>176</v>
      </c>
      <c r="J12" t="str">
        <f t="shared" si="0"/>
        <v>0-0.5</v>
      </c>
    </row>
    <row r="13" spans="1:10" x14ac:dyDescent="0.3">
      <c r="A13" t="s">
        <v>562</v>
      </c>
      <c r="B13" t="s">
        <v>563</v>
      </c>
      <c r="C13">
        <v>270.94</v>
      </c>
      <c r="D13">
        <v>0.05</v>
      </c>
      <c r="E13">
        <v>873320</v>
      </c>
      <c r="F13">
        <v>1270000</v>
      </c>
      <c r="G13">
        <v>3220</v>
      </c>
      <c r="H13">
        <f>IFERROR(Sheet1[[#This Row],[Volume (24h)]]/Sheet1[[#This Row],[Circulating Supply]],0)</f>
        <v>5.5999000076081167E-4</v>
      </c>
      <c r="I13">
        <f>RANK(Table2[[#This Row],[Market Cap]],Table2[Market Cap],0)</f>
        <v>293</v>
      </c>
      <c r="J13" t="str">
        <f t="shared" si="0"/>
        <v>100-10000</v>
      </c>
    </row>
    <row r="14" spans="1:10" x14ac:dyDescent="0.3">
      <c r="A14" t="s">
        <v>380</v>
      </c>
      <c r="B14" t="s">
        <v>381</v>
      </c>
      <c r="C14">
        <v>0.22889999999999999</v>
      </c>
      <c r="D14">
        <v>5.57</v>
      </c>
      <c r="E14">
        <v>3280000</v>
      </c>
      <c r="F14">
        <v>3170000</v>
      </c>
      <c r="G14">
        <v>14340000</v>
      </c>
      <c r="H14">
        <f>IFERROR(Sheet1[[#This Row],[Volume (24h)]]/Sheet1[[#This Row],[Circulating Supply]],0)</f>
        <v>16.992852888624181</v>
      </c>
      <c r="I14">
        <f>RANK(Table2[[#This Row],[Market Cap]],Table2[Market Cap],0)</f>
        <v>204</v>
      </c>
      <c r="J14" t="str">
        <f t="shared" si="0"/>
        <v>0-0.5</v>
      </c>
    </row>
    <row r="15" spans="1:10" x14ac:dyDescent="0.3">
      <c r="A15" t="s">
        <v>177</v>
      </c>
      <c r="B15" t="s">
        <v>178</v>
      </c>
      <c r="C15">
        <v>1.112E-2</v>
      </c>
      <c r="D15">
        <v>0.13</v>
      </c>
      <c r="E15">
        <v>27810000</v>
      </c>
      <c r="F15">
        <v>1650000</v>
      </c>
      <c r="G15">
        <v>2500000000</v>
      </c>
      <c r="H15">
        <f>IFERROR(Sheet1[[#This Row],[Volume (24h)]]/Sheet1[[#This Row],[Circulating Supply]],0)</f>
        <v>4.9574014909478166</v>
      </c>
      <c r="I15">
        <f>RANK(Table2[[#This Row],[Market Cap]],Table2[Market Cap],0)</f>
        <v>89</v>
      </c>
      <c r="J15" t="str">
        <f t="shared" si="0"/>
        <v>0-0.5</v>
      </c>
    </row>
    <row r="16" spans="1:10" x14ac:dyDescent="0.3">
      <c r="A16" t="s">
        <v>300</v>
      </c>
      <c r="B16" t="s">
        <v>301</v>
      </c>
      <c r="C16">
        <v>93.78</v>
      </c>
      <c r="D16">
        <v>1.01</v>
      </c>
      <c r="E16">
        <v>7370000</v>
      </c>
      <c r="F16">
        <v>1870000</v>
      </c>
      <c r="G16">
        <v>78610</v>
      </c>
      <c r="H16">
        <f>IFERROR(Sheet1[[#This Row],[Volume (24h)]]/Sheet1[[#This Row],[Circulating Supply]],0)</f>
        <v>8.7347945205479456E-3</v>
      </c>
      <c r="I16">
        <f>RANK(Table2[[#This Row],[Market Cap]],Table2[Market Cap],0)</f>
        <v>153</v>
      </c>
      <c r="J16" t="str">
        <f t="shared" si="0"/>
        <v>10-100</v>
      </c>
    </row>
    <row r="17" spans="1:10" x14ac:dyDescent="0.3">
      <c r="A17" t="s">
        <v>110</v>
      </c>
      <c r="B17" t="s">
        <v>111</v>
      </c>
      <c r="C17">
        <v>0.19450000000000001</v>
      </c>
      <c r="D17">
        <v>0.39</v>
      </c>
      <c r="E17">
        <v>54060000</v>
      </c>
      <c r="F17">
        <v>2500000</v>
      </c>
      <c r="G17">
        <v>277810000</v>
      </c>
      <c r="H17">
        <f>IFERROR(Sheet1[[#This Row],[Volume (24h)]]/Sheet1[[#This Row],[Circulating Supply]],0)</f>
        <v>7.9635542831975339E-2</v>
      </c>
      <c r="I17">
        <f>RANK(Table2[[#This Row],[Market Cap]],Table2[Market Cap],0)</f>
        <v>55</v>
      </c>
      <c r="J17" t="str">
        <f t="shared" si="0"/>
        <v>0-0.5</v>
      </c>
    </row>
    <row r="18" spans="1:10" x14ac:dyDescent="0.3">
      <c r="A18" t="s">
        <v>374</v>
      </c>
      <c r="B18" t="s">
        <v>375</v>
      </c>
      <c r="C18">
        <v>2.8570000000000002E-2</v>
      </c>
      <c r="D18">
        <v>0.2</v>
      </c>
      <c r="E18">
        <v>4210000</v>
      </c>
      <c r="F18">
        <v>1130000</v>
      </c>
      <c r="G18">
        <v>147340000</v>
      </c>
      <c r="H18">
        <f>IFERROR(Sheet1[[#This Row],[Volume (24h)]]/Sheet1[[#This Row],[Circulating Supply]],0)</f>
        <v>6.6457933542066459E-9</v>
      </c>
      <c r="I18">
        <f>RANK(Table2[[#This Row],[Market Cap]],Table2[Market Cap],0)</f>
        <v>193</v>
      </c>
      <c r="J18" t="str">
        <f t="shared" si="0"/>
        <v>0-0.5</v>
      </c>
    </row>
    <row r="19" spans="1:10" x14ac:dyDescent="0.3">
      <c r="A19" t="s">
        <v>215</v>
      </c>
      <c r="B19" t="s">
        <v>216</v>
      </c>
      <c r="C19">
        <v>4.371E-4</v>
      </c>
      <c r="D19">
        <v>0.05</v>
      </c>
      <c r="E19">
        <v>15840000</v>
      </c>
      <c r="F19">
        <v>15290</v>
      </c>
      <c r="G19">
        <v>36250000000</v>
      </c>
      <c r="H19">
        <f>IFERROR(Sheet1[[#This Row],[Volume (24h)]]/Sheet1[[#This Row],[Circulating Supply]],0)</f>
        <v>4.5084749197086209E-9</v>
      </c>
      <c r="I19">
        <f>RANK(Table2[[#This Row],[Market Cap]],Table2[Market Cap],0)</f>
        <v>109</v>
      </c>
      <c r="J19" t="str">
        <f t="shared" si="0"/>
        <v>0-0.5</v>
      </c>
    </row>
    <row r="20" spans="1:10" x14ac:dyDescent="0.3">
      <c r="A20" t="s">
        <v>477</v>
      </c>
      <c r="B20" t="s">
        <v>478</v>
      </c>
      <c r="C20">
        <v>8.4830000000000003E-2</v>
      </c>
      <c r="D20">
        <v>0.53</v>
      </c>
      <c r="E20">
        <v>1580000</v>
      </c>
      <c r="F20">
        <v>324580</v>
      </c>
      <c r="G20">
        <v>18710000</v>
      </c>
      <c r="H20">
        <f>IFERROR(Sheet1[[#This Row],[Volume (24h)]]/Sheet1[[#This Row],[Circulating Supply]],0)</f>
        <v>0.22288507747120723</v>
      </c>
      <c r="I20">
        <f>RANK(Table2[[#This Row],[Market Cap]],Table2[Market Cap],0)</f>
        <v>249</v>
      </c>
      <c r="J20" t="str">
        <f t="shared" si="0"/>
        <v>0-0.5</v>
      </c>
    </row>
    <row r="21" spans="1:10" x14ac:dyDescent="0.3">
      <c r="A21" t="s">
        <v>296</v>
      </c>
      <c r="B21" t="s">
        <v>297</v>
      </c>
      <c r="C21">
        <v>0.84689999999999999</v>
      </c>
      <c r="D21">
        <v>0.28000000000000003</v>
      </c>
      <c r="E21">
        <v>7390000</v>
      </c>
      <c r="F21">
        <v>3250000</v>
      </c>
      <c r="G21">
        <v>8730000</v>
      </c>
      <c r="H21">
        <f>IFERROR(Sheet1[[#This Row],[Volume (24h)]]/Sheet1[[#This Row],[Circulating Supply]],0)</f>
        <v>5.0737276042492466E-2</v>
      </c>
      <c r="I21">
        <f>RANK(Table2[[#This Row],[Market Cap]],Table2[Market Cap],0)</f>
        <v>151</v>
      </c>
      <c r="J21" t="str">
        <f t="shared" si="0"/>
        <v>0.5-1</v>
      </c>
    </row>
    <row r="22" spans="1:10" x14ac:dyDescent="0.3">
      <c r="A22" t="s">
        <v>386</v>
      </c>
      <c r="B22" t="s">
        <v>387</v>
      </c>
      <c r="C22">
        <v>58.92</v>
      </c>
      <c r="D22">
        <v>0.05</v>
      </c>
      <c r="E22">
        <v>3300000</v>
      </c>
      <c r="F22">
        <v>202940</v>
      </c>
      <c r="G22">
        <v>56090</v>
      </c>
      <c r="H22">
        <f>IFERROR(Sheet1[[#This Row],[Volume (24h)]]/Sheet1[[#This Row],[Circulating Supply]],0)</f>
        <v>0.42123629112662014</v>
      </c>
      <c r="I22">
        <f>RANK(Table2[[#This Row],[Market Cap]],Table2[Market Cap],0)</f>
        <v>198</v>
      </c>
      <c r="J22" t="str">
        <f t="shared" si="0"/>
        <v>10-100</v>
      </c>
    </row>
    <row r="23" spans="1:10" x14ac:dyDescent="0.3">
      <c r="A23" t="s">
        <v>150</v>
      </c>
      <c r="B23" t="s">
        <v>151</v>
      </c>
      <c r="C23">
        <v>6.758E-5</v>
      </c>
      <c r="D23">
        <v>4.53</v>
      </c>
      <c r="E23">
        <v>28430000</v>
      </c>
      <c r="F23">
        <v>9280000</v>
      </c>
      <c r="G23">
        <v>420690000000</v>
      </c>
      <c r="H23">
        <f>IFERROR(Sheet1[[#This Row],[Volume (24h)]]/Sheet1[[#This Row],[Circulating Supply]],0)</f>
        <v>2.6132596685082871E-3</v>
      </c>
      <c r="I23">
        <f>RANK(Table2[[#This Row],[Market Cap]],Table2[Market Cap],0)</f>
        <v>79</v>
      </c>
      <c r="J23" t="str">
        <f t="shared" si="0"/>
        <v>0-0.5</v>
      </c>
    </row>
    <row r="24" spans="1:10" x14ac:dyDescent="0.3">
      <c r="A24" t="s">
        <v>236</v>
      </c>
      <c r="B24" t="s">
        <v>237</v>
      </c>
      <c r="C24">
        <v>1.678E-2</v>
      </c>
      <c r="D24">
        <v>0.78</v>
      </c>
      <c r="E24">
        <v>12160000</v>
      </c>
      <c r="F24">
        <v>474110</v>
      </c>
      <c r="G24">
        <v>724750000</v>
      </c>
      <c r="H24">
        <f>IFERROR(Sheet1[[#This Row],[Volume (24h)]]/Sheet1[[#This Row],[Circulating Supply]],0)</f>
        <v>0.14200873362445415</v>
      </c>
      <c r="I24">
        <f>RANK(Table2[[#This Row],[Market Cap]],Table2[Market Cap],0)</f>
        <v>120</v>
      </c>
      <c r="J24" t="str">
        <f t="shared" si="0"/>
        <v>0-0.5</v>
      </c>
    </row>
    <row r="25" spans="1:10" x14ac:dyDescent="0.3">
      <c r="A25" t="s">
        <v>304</v>
      </c>
      <c r="B25" t="s">
        <v>304</v>
      </c>
      <c r="C25">
        <v>7.3530000000000002E-3</v>
      </c>
      <c r="D25">
        <v>0.99</v>
      </c>
      <c r="E25">
        <v>7340000</v>
      </c>
      <c r="F25">
        <v>539290</v>
      </c>
      <c r="G25">
        <v>999190000</v>
      </c>
      <c r="H25">
        <f>IFERROR(Sheet1[[#This Row],[Volume (24h)]]/Sheet1[[#This Row],[Circulating Supply]],0)</f>
        <v>1.1962774957698815E-3</v>
      </c>
      <c r="I25">
        <f>RANK(Table2[[#This Row],[Market Cap]],Table2[Market Cap],0)</f>
        <v>155</v>
      </c>
      <c r="J25" t="str">
        <f t="shared" si="0"/>
        <v>0-0.5</v>
      </c>
    </row>
    <row r="26" spans="1:10" x14ac:dyDescent="0.3">
      <c r="A26" t="s">
        <v>441</v>
      </c>
      <c r="B26" t="s">
        <v>442</v>
      </c>
      <c r="C26">
        <v>59.16</v>
      </c>
      <c r="D26">
        <v>2.37</v>
      </c>
      <c r="E26">
        <v>2030000</v>
      </c>
      <c r="F26">
        <v>6720000</v>
      </c>
      <c r="G26">
        <v>34460</v>
      </c>
      <c r="H26">
        <f>IFERROR(Sheet1[[#This Row],[Volume (24h)]]/Sheet1[[#This Row],[Circulating Supply]],0)</f>
        <v>3.819752244573247E-7</v>
      </c>
      <c r="I26">
        <f>RANK(Table2[[#This Row],[Market Cap]],Table2[Market Cap],0)</f>
        <v>229</v>
      </c>
      <c r="J26" t="str">
        <f t="shared" si="0"/>
        <v>10-100</v>
      </c>
    </row>
    <row r="27" spans="1:10" x14ac:dyDescent="0.3">
      <c r="A27" t="s">
        <v>100</v>
      </c>
      <c r="B27" t="s">
        <v>101</v>
      </c>
      <c r="C27">
        <v>9.3123999999999998E-2</v>
      </c>
      <c r="D27">
        <v>1.03</v>
      </c>
      <c r="E27">
        <v>55980000</v>
      </c>
      <c r="F27">
        <v>4240000</v>
      </c>
      <c r="G27">
        <v>0</v>
      </c>
      <c r="H27">
        <f>IFERROR(Sheet1[[#This Row],[Volume (24h)]]/Sheet1[[#This Row],[Circulating Supply]],0)</f>
        <v>0.20764403879064461</v>
      </c>
      <c r="I27">
        <f>RANK(Table2[[#This Row],[Market Cap]],Table2[Market Cap],0)</f>
        <v>50</v>
      </c>
      <c r="J27" t="str">
        <f t="shared" si="0"/>
        <v>0-0.5</v>
      </c>
    </row>
    <row r="28" spans="1:10" x14ac:dyDescent="0.3">
      <c r="A28" t="s">
        <v>317</v>
      </c>
      <c r="B28" t="s">
        <v>318</v>
      </c>
      <c r="C28">
        <v>0.10150000000000001</v>
      </c>
      <c r="D28">
        <v>1.23</v>
      </c>
      <c r="E28">
        <v>7080000</v>
      </c>
      <c r="F28">
        <v>384890</v>
      </c>
      <c r="G28">
        <v>69780000</v>
      </c>
      <c r="H28">
        <f>IFERROR(Sheet1[[#This Row],[Volume (24h)]]/Sheet1[[#This Row],[Circulating Supply]],0)</f>
        <v>1.6708812260536398E-2</v>
      </c>
      <c r="I28">
        <f>RANK(Table2[[#This Row],[Market Cap]],Table2[Market Cap],0)</f>
        <v>162</v>
      </c>
      <c r="J28" t="str">
        <f t="shared" si="0"/>
        <v>0-0.5</v>
      </c>
    </row>
    <row r="29" spans="1:10" x14ac:dyDescent="0.3">
      <c r="A29" t="s">
        <v>175</v>
      </c>
      <c r="B29" t="s">
        <v>176</v>
      </c>
      <c r="C29">
        <v>0.26240000000000002</v>
      </c>
      <c r="D29">
        <v>0.37</v>
      </c>
      <c r="E29">
        <v>27830000</v>
      </c>
      <c r="F29">
        <v>2800000</v>
      </c>
      <c r="G29">
        <v>106040000</v>
      </c>
      <c r="H29">
        <f>IFERROR(Sheet1[[#This Row],[Volume (24h)]]/Sheet1[[#This Row],[Circulating Supply]],0)</f>
        <v>4.532110091743119E-3</v>
      </c>
      <c r="I29">
        <f>RANK(Table2[[#This Row],[Market Cap]],Table2[Market Cap],0)</f>
        <v>88</v>
      </c>
      <c r="J29" t="str">
        <f t="shared" si="0"/>
        <v>0-0.5</v>
      </c>
    </row>
    <row r="30" spans="1:10" x14ac:dyDescent="0.3">
      <c r="A30" t="s">
        <v>77</v>
      </c>
      <c r="B30" t="s">
        <v>78</v>
      </c>
      <c r="C30">
        <v>8.2500000000000004E-2</v>
      </c>
      <c r="D30">
        <v>0.08</v>
      </c>
      <c r="E30">
        <v>649330000</v>
      </c>
      <c r="F30">
        <v>11920000</v>
      </c>
      <c r="G30">
        <v>7860000000</v>
      </c>
      <c r="H30">
        <f>IFERROR(Sheet1[[#This Row],[Volume (24h)]]/Sheet1[[#This Row],[Circulating Supply]],0)</f>
        <v>1.4805825242718447E-4</v>
      </c>
      <c r="I30">
        <f>RANK(Table2[[#This Row],[Market Cap]],Table2[Market Cap],0)</f>
        <v>23</v>
      </c>
      <c r="J30" t="str">
        <f t="shared" si="0"/>
        <v>0-0.5</v>
      </c>
    </row>
    <row r="31" spans="1:10" x14ac:dyDescent="0.3">
      <c r="A31" t="s">
        <v>433</v>
      </c>
      <c r="B31" t="s">
        <v>434</v>
      </c>
      <c r="C31">
        <v>4.1340000000000002E-2</v>
      </c>
      <c r="D31">
        <v>0</v>
      </c>
      <c r="E31">
        <v>2540000</v>
      </c>
      <c r="F31">
        <v>8440</v>
      </c>
      <c r="G31">
        <v>61480000</v>
      </c>
      <c r="H31">
        <f>IFERROR(Sheet1[[#This Row],[Volume (24h)]]/Sheet1[[#This Row],[Circulating Supply]],0)</f>
        <v>5.1999999999999998E-3</v>
      </c>
      <c r="I31">
        <f>RANK(Table2[[#This Row],[Market Cap]],Table2[Market Cap],0)</f>
        <v>222</v>
      </c>
      <c r="J31" t="str">
        <f t="shared" si="0"/>
        <v>0-0.5</v>
      </c>
    </row>
    <row r="32" spans="1:10" x14ac:dyDescent="0.3">
      <c r="A32" t="s">
        <v>96</v>
      </c>
      <c r="B32" t="s">
        <v>97</v>
      </c>
      <c r="C32">
        <v>2.3769999999999999E-2</v>
      </c>
      <c r="D32">
        <v>0.43</v>
      </c>
      <c r="E32">
        <v>57720000</v>
      </c>
      <c r="F32">
        <v>7340000</v>
      </c>
      <c r="G32">
        <v>2420000000</v>
      </c>
      <c r="H32">
        <f>IFERROR(Sheet1[[#This Row],[Volume (24h)]]/Sheet1[[#This Row],[Circulating Supply]],0)</f>
        <v>3.963603380508804E-5</v>
      </c>
      <c r="I32">
        <f>RANK(Table2[[#This Row],[Market Cap]],Table2[Market Cap],0)</f>
        <v>48</v>
      </c>
      <c r="J32" t="str">
        <f t="shared" si="0"/>
        <v>0-0.5</v>
      </c>
    </row>
    <row r="33" spans="1:10" x14ac:dyDescent="0.3">
      <c r="A33" t="s">
        <v>473</v>
      </c>
      <c r="B33" t="s">
        <v>474</v>
      </c>
      <c r="C33">
        <v>1.817E-4</v>
      </c>
      <c r="D33">
        <v>0</v>
      </c>
      <c r="E33">
        <v>1590000</v>
      </c>
      <c r="F33">
        <v>23440</v>
      </c>
      <c r="G33">
        <v>8790000000</v>
      </c>
      <c r="H33">
        <f>IFERROR(Sheet1[[#This Row],[Volume (24h)]]/Sheet1[[#This Row],[Circulating Supply]],0)</f>
        <v>2.1277877697841726E-5</v>
      </c>
      <c r="I33">
        <f>RANK(Table2[[#This Row],[Market Cap]],Table2[Market Cap],0)</f>
        <v>246</v>
      </c>
      <c r="J33" t="str">
        <f t="shared" si="0"/>
        <v>0-0.5</v>
      </c>
    </row>
    <row r="34" spans="1:10" x14ac:dyDescent="0.3">
      <c r="A34" t="s">
        <v>467</v>
      </c>
      <c r="B34" t="s">
        <v>468</v>
      </c>
      <c r="C34">
        <v>2.087E-4</v>
      </c>
      <c r="D34">
        <v>0</v>
      </c>
      <c r="E34">
        <v>1600000</v>
      </c>
      <c r="F34">
        <v>0</v>
      </c>
      <c r="G34">
        <v>7700000000</v>
      </c>
      <c r="H34">
        <f>IFERROR(Sheet1[[#This Row],[Volume (24h)]]/Sheet1[[#This Row],[Circulating Supply]],0)</f>
        <v>2.8731382978723402E-4</v>
      </c>
      <c r="I34">
        <f>RANK(Table2[[#This Row],[Market Cap]],Table2[Market Cap],0)</f>
        <v>243</v>
      </c>
      <c r="J34" t="str">
        <f t="shared" si="0"/>
        <v>0-0.5</v>
      </c>
    </row>
    <row r="35" spans="1:10" x14ac:dyDescent="0.3">
      <c r="A35" t="s">
        <v>9</v>
      </c>
      <c r="B35" t="s">
        <v>10</v>
      </c>
      <c r="C35">
        <v>62905.02</v>
      </c>
      <c r="D35">
        <v>0.01</v>
      </c>
      <c r="E35">
        <v>1260000000000</v>
      </c>
      <c r="F35">
        <v>30990000000</v>
      </c>
      <c r="G35">
        <v>20060000</v>
      </c>
      <c r="H35">
        <f>IFERROR(Sheet1[[#This Row],[Volume (24h)]]/Sheet1[[#This Row],[Circulating Supply]],0)</f>
        <v>4.037941284526235E-8</v>
      </c>
      <c r="I35">
        <f>RANK(Table2[[#This Row],[Market Cap]],Table2[Market Cap],0)</f>
        <v>1</v>
      </c>
      <c r="J35" t="str">
        <f t="shared" si="0"/>
        <v>10000+</v>
      </c>
    </row>
    <row r="36" spans="1:10" x14ac:dyDescent="0.3">
      <c r="A36" t="s">
        <v>259</v>
      </c>
      <c r="B36" t="s">
        <v>260</v>
      </c>
      <c r="C36">
        <v>6.3210000000000002E-2</v>
      </c>
      <c r="D36">
        <v>0</v>
      </c>
      <c r="E36">
        <v>11780000</v>
      </c>
      <c r="F36">
        <v>0</v>
      </c>
      <c r="G36">
        <v>186490000</v>
      </c>
      <c r="H36">
        <f>IFERROR(Sheet1[[#This Row],[Volume (24h)]]/Sheet1[[#This Row],[Circulating Supply]],0)</f>
        <v>4.6627777777777775E-4</v>
      </c>
      <c r="I36">
        <f>RANK(Table2[[#This Row],[Market Cap]],Table2[Market Cap],0)</f>
        <v>132</v>
      </c>
      <c r="J36" t="str">
        <f t="shared" si="0"/>
        <v>0-0.5</v>
      </c>
    </row>
    <row r="37" spans="1:10" x14ac:dyDescent="0.3">
      <c r="A37" t="s">
        <v>43</v>
      </c>
      <c r="B37" t="s">
        <v>44</v>
      </c>
      <c r="C37">
        <v>12.58</v>
      </c>
      <c r="D37">
        <v>0.47</v>
      </c>
      <c r="E37">
        <v>252500000</v>
      </c>
      <c r="F37">
        <v>8450000</v>
      </c>
      <c r="G37">
        <v>20060000</v>
      </c>
      <c r="H37">
        <f>IFERROR(Sheet1[[#This Row],[Volume (24h)]]/Sheet1[[#This Row],[Circulating Supply]],0)</f>
        <v>1.2648648648648649E-2</v>
      </c>
      <c r="I37">
        <f>RANK(Table2[[#This Row],[Market Cap]],Table2[Market Cap],0)</f>
        <v>35</v>
      </c>
      <c r="J37" t="str">
        <f t="shared" si="0"/>
        <v>10-100</v>
      </c>
    </row>
    <row r="38" spans="1:10" x14ac:dyDescent="0.3">
      <c r="A38" t="s">
        <v>126</v>
      </c>
      <c r="B38" t="s">
        <v>127</v>
      </c>
      <c r="C38">
        <v>0.47439999999999999</v>
      </c>
      <c r="D38">
        <v>0.66</v>
      </c>
      <c r="E38">
        <v>38890000</v>
      </c>
      <c r="F38">
        <v>138940</v>
      </c>
      <c r="G38">
        <v>81970000</v>
      </c>
      <c r="H38">
        <f>IFERROR(Sheet1[[#This Row],[Volume (24h)]]/Sheet1[[#This Row],[Circulating Supply]],0)</f>
        <v>3.2539325842696628E-3</v>
      </c>
      <c r="I38">
        <f>RANK(Table2[[#This Row],[Market Cap]],Table2[Market Cap],0)</f>
        <v>63</v>
      </c>
      <c r="J38" t="str">
        <f t="shared" si="0"/>
        <v>0-0.5</v>
      </c>
    </row>
    <row r="39" spans="1:10" x14ac:dyDescent="0.3">
      <c r="A39" t="s">
        <v>346</v>
      </c>
      <c r="B39" t="s">
        <v>347</v>
      </c>
      <c r="C39">
        <v>0.13020000000000001</v>
      </c>
      <c r="D39">
        <v>0.31</v>
      </c>
      <c r="E39">
        <v>5600000</v>
      </c>
      <c r="F39">
        <v>3260000</v>
      </c>
      <c r="G39">
        <v>43050000</v>
      </c>
      <c r="H39">
        <f>IFERROR(Sheet1[[#This Row],[Volume (24h)]]/Sheet1[[#This Row],[Circulating Supply]],0)</f>
        <v>9.5063822190484693E-3</v>
      </c>
      <c r="I39">
        <f>RANK(Table2[[#This Row],[Market Cap]],Table2[Market Cap],0)</f>
        <v>178</v>
      </c>
      <c r="J39" t="str">
        <f t="shared" si="0"/>
        <v>0-0.5</v>
      </c>
    </row>
    <row r="40" spans="1:10" x14ac:dyDescent="0.3">
      <c r="A40" t="s">
        <v>38</v>
      </c>
      <c r="B40" t="s">
        <v>39</v>
      </c>
      <c r="C40">
        <v>6.2614000000000003E-2</v>
      </c>
      <c r="D40">
        <v>0.18</v>
      </c>
      <c r="E40">
        <v>258040000</v>
      </c>
      <c r="F40">
        <v>4450000</v>
      </c>
      <c r="G40">
        <v>987030000000000</v>
      </c>
      <c r="H40">
        <f>IFERROR(Sheet1[[#This Row],[Volume (24h)]]/Sheet1[[#This Row],[Circulating Supply]],0)</f>
        <v>1.5165394402035623E-3</v>
      </c>
      <c r="I40">
        <f>RANK(Table2[[#This Row],[Market Cap]],Table2[Market Cap],0)</f>
        <v>32</v>
      </c>
      <c r="J40" t="str">
        <f t="shared" si="0"/>
        <v>0-0.5</v>
      </c>
    </row>
    <row r="41" spans="1:10" x14ac:dyDescent="0.3">
      <c r="A41" t="s">
        <v>217</v>
      </c>
      <c r="B41" t="s">
        <v>218</v>
      </c>
      <c r="C41">
        <v>2.3809999999999999E-4</v>
      </c>
      <c r="D41">
        <v>0.06</v>
      </c>
      <c r="E41">
        <v>15820000</v>
      </c>
      <c r="F41">
        <v>3020000</v>
      </c>
      <c r="G41">
        <v>66430000000.000008</v>
      </c>
      <c r="H41">
        <f>IFERROR(Sheet1[[#This Row],[Volume (24h)]]/Sheet1[[#This Row],[Circulating Supply]],0)</f>
        <v>2.0801232665639447E-3</v>
      </c>
      <c r="I41">
        <f>RANK(Table2[[#This Row],[Market Cap]],Table2[Market Cap],0)</f>
        <v>110</v>
      </c>
      <c r="J41" t="str">
        <f t="shared" si="0"/>
        <v>0-0.5</v>
      </c>
    </row>
    <row r="42" spans="1:10" x14ac:dyDescent="0.3">
      <c r="A42" t="s">
        <v>211</v>
      </c>
      <c r="B42" t="s">
        <v>212</v>
      </c>
      <c r="C42">
        <v>8.1779999999999995E-3</v>
      </c>
      <c r="D42">
        <v>0.83</v>
      </c>
      <c r="E42">
        <v>15880000</v>
      </c>
      <c r="F42">
        <v>1700000</v>
      </c>
      <c r="G42">
        <v>1940000000</v>
      </c>
      <c r="H42">
        <f>IFERROR(Sheet1[[#This Row],[Volume (24h)]]/Sheet1[[#This Row],[Circulating Supply]],0)</f>
        <v>6.5584672346238188E-5</v>
      </c>
      <c r="I42">
        <f>RANK(Table2[[#This Row],[Market Cap]],Table2[Market Cap],0)</f>
        <v>107</v>
      </c>
      <c r="J42" t="str">
        <f t="shared" si="0"/>
        <v>0-0.5</v>
      </c>
    </row>
    <row r="43" spans="1:10" x14ac:dyDescent="0.3">
      <c r="A43" t="s">
        <v>173</v>
      </c>
      <c r="B43" t="s">
        <v>174</v>
      </c>
      <c r="C43">
        <v>0.11799999999999999</v>
      </c>
      <c r="D43">
        <v>0.51</v>
      </c>
      <c r="E43">
        <v>27890000</v>
      </c>
      <c r="F43">
        <v>663280000</v>
      </c>
      <c r="G43">
        <v>236300000</v>
      </c>
      <c r="H43">
        <f>IFERROR(Sheet1[[#This Row],[Volume (24h)]]/Sheet1[[#This Row],[Circulating Supply]],0)</f>
        <v>4.5993462661741098E-2</v>
      </c>
      <c r="I43">
        <f>RANK(Table2[[#This Row],[Market Cap]],Table2[Market Cap],0)</f>
        <v>87</v>
      </c>
      <c r="J43" t="str">
        <f t="shared" si="0"/>
        <v>0-0.5</v>
      </c>
    </row>
    <row r="44" spans="1:10" x14ac:dyDescent="0.3">
      <c r="A44" t="s">
        <v>569</v>
      </c>
      <c r="B44" t="s">
        <v>570</v>
      </c>
      <c r="C44">
        <v>1.406E-2</v>
      </c>
      <c r="D44">
        <v>0.12</v>
      </c>
      <c r="E44">
        <v>864710</v>
      </c>
      <c r="F44">
        <v>39030</v>
      </c>
      <c r="G44">
        <v>61470000</v>
      </c>
      <c r="H44">
        <f>IFERROR(Sheet1[[#This Row],[Volume (24h)]]/Sheet1[[#This Row],[Circulating Supply]],0)</f>
        <v>1.1189787573551411E-5</v>
      </c>
      <c r="I44">
        <f>RANK(Table2[[#This Row],[Market Cap]],Table2[Market Cap],0)</f>
        <v>297</v>
      </c>
      <c r="J44" t="str">
        <f t="shared" si="0"/>
        <v>0-0.5</v>
      </c>
    </row>
    <row r="45" spans="1:10" x14ac:dyDescent="0.3">
      <c r="A45" t="s">
        <v>538</v>
      </c>
      <c r="B45" t="s">
        <v>539</v>
      </c>
      <c r="C45">
        <v>206.65</v>
      </c>
      <c r="D45">
        <v>0.74</v>
      </c>
      <c r="E45">
        <v>1040000</v>
      </c>
      <c r="F45">
        <v>1950000</v>
      </c>
      <c r="G45">
        <v>5060</v>
      </c>
      <c r="H45">
        <f>IFERROR(Sheet1[[#This Row],[Volume (24h)]]/Sheet1[[#This Row],[Circulating Supply]],0)</f>
        <v>5.6759999999999996E-3</v>
      </c>
      <c r="I45">
        <f>RANK(Table2[[#This Row],[Market Cap]],Table2[Market Cap],0)</f>
        <v>278</v>
      </c>
      <c r="J45" t="str">
        <f t="shared" si="0"/>
        <v>100-10000</v>
      </c>
    </row>
    <row r="46" spans="1:10" x14ac:dyDescent="0.3">
      <c r="A46" t="s">
        <v>15</v>
      </c>
      <c r="B46" t="s">
        <v>15</v>
      </c>
      <c r="C46">
        <v>586.66999999999996</v>
      </c>
      <c r="D46">
        <v>0.21</v>
      </c>
      <c r="E46">
        <v>78080000000</v>
      </c>
      <c r="F46">
        <v>1230000000</v>
      </c>
      <c r="G46">
        <v>133160000</v>
      </c>
      <c r="H46">
        <f>IFERROR(Sheet1[[#This Row],[Volume (24h)]]/Sheet1[[#This Row],[Circulating Supply]],0)</f>
        <v>2.2139237451737453E-9</v>
      </c>
      <c r="I46">
        <f>RANK(Table2[[#This Row],[Market Cap]],Table2[Market Cap],0)</f>
        <v>4</v>
      </c>
      <c r="J46" t="str">
        <f t="shared" si="0"/>
        <v>100-10000</v>
      </c>
    </row>
    <row r="47" spans="1:10" x14ac:dyDescent="0.3">
      <c r="A47" t="s">
        <v>272</v>
      </c>
      <c r="B47" t="s">
        <v>273</v>
      </c>
      <c r="C47">
        <v>1.883E-2</v>
      </c>
      <c r="D47">
        <v>0.05</v>
      </c>
      <c r="E47">
        <v>9290000</v>
      </c>
      <c r="F47">
        <v>1000000</v>
      </c>
      <c r="G47">
        <v>493580000</v>
      </c>
      <c r="H47">
        <f>IFERROR(Sheet1[[#This Row],[Volume (24h)]]/Sheet1[[#This Row],[Circulating Supply]],0)</f>
        <v>1.3492063492063491E-4</v>
      </c>
      <c r="I47">
        <f>RANK(Table2[[#This Row],[Market Cap]],Table2[Market Cap],0)</f>
        <v>139</v>
      </c>
      <c r="J47" t="str">
        <f t="shared" si="0"/>
        <v>0-0.5</v>
      </c>
    </row>
    <row r="48" spans="1:10" x14ac:dyDescent="0.3">
      <c r="A48" t="s">
        <v>51</v>
      </c>
      <c r="B48" t="s">
        <v>52</v>
      </c>
      <c r="C48">
        <v>5.2774000000000001E-2</v>
      </c>
      <c r="D48">
        <v>0.42</v>
      </c>
      <c r="E48">
        <v>244180000</v>
      </c>
      <c r="F48">
        <v>33610000</v>
      </c>
      <c r="G48">
        <v>87990000000000</v>
      </c>
      <c r="H48">
        <f>IFERROR(Sheet1[[#This Row],[Volume (24h)]]/Sheet1[[#This Row],[Circulating Supply]],0)</f>
        <v>3.8126843657817107E-2</v>
      </c>
      <c r="I48">
        <f>RANK(Table2[[#This Row],[Market Cap]],Table2[Market Cap],0)</f>
        <v>39</v>
      </c>
      <c r="J48" t="str">
        <f t="shared" si="0"/>
        <v>0-0.5</v>
      </c>
    </row>
    <row r="49" spans="1:10" x14ac:dyDescent="0.3">
      <c r="A49" t="s">
        <v>414</v>
      </c>
      <c r="B49" t="s">
        <v>415</v>
      </c>
      <c r="C49">
        <v>2.7140000000000001E-2</v>
      </c>
      <c r="D49">
        <v>0.48</v>
      </c>
      <c r="E49">
        <v>2610000</v>
      </c>
      <c r="F49">
        <v>14640</v>
      </c>
      <c r="G49">
        <v>96190000</v>
      </c>
      <c r="H49">
        <f>IFERROR(Sheet1[[#This Row],[Volume (24h)]]/Sheet1[[#This Row],[Circulating Supply]],0)</f>
        <v>3.140031400314003E-3</v>
      </c>
      <c r="I49">
        <f>RANK(Table2[[#This Row],[Market Cap]],Table2[Market Cap],0)</f>
        <v>214</v>
      </c>
      <c r="J49" t="str">
        <f t="shared" si="0"/>
        <v>0-0.5</v>
      </c>
    </row>
    <row r="50" spans="1:10" x14ac:dyDescent="0.3">
      <c r="A50" t="s">
        <v>462</v>
      </c>
      <c r="B50" t="s">
        <v>462</v>
      </c>
      <c r="C50">
        <v>2.5559999999999999E-5</v>
      </c>
      <c r="D50">
        <v>0.36</v>
      </c>
      <c r="E50">
        <v>1980000</v>
      </c>
      <c r="F50">
        <v>826.89</v>
      </c>
      <c r="G50">
        <v>77570000000</v>
      </c>
      <c r="H50">
        <f>IFERROR(Sheet1[[#This Row],[Volume (24h)]]/Sheet1[[#This Row],[Circulating Supply]],0)</f>
        <v>3.0330578512396695E-3</v>
      </c>
      <c r="I50">
        <f>RANK(Table2[[#This Row],[Market Cap]],Table2[Market Cap],0)</f>
        <v>239</v>
      </c>
      <c r="J50" t="str">
        <f t="shared" si="0"/>
        <v>0-0.5</v>
      </c>
    </row>
    <row r="51" spans="1:10" x14ac:dyDescent="0.3">
      <c r="A51" t="s">
        <v>136</v>
      </c>
      <c r="B51" t="s">
        <v>137</v>
      </c>
      <c r="C51">
        <v>3.8549999999999999E-3</v>
      </c>
      <c r="D51">
        <v>0.28999999999999998</v>
      </c>
      <c r="E51">
        <v>38550000</v>
      </c>
      <c r="F51">
        <v>4290000</v>
      </c>
      <c r="G51">
        <v>9990000000</v>
      </c>
      <c r="H51">
        <f>IFERROR(Sheet1[[#This Row],[Volume (24h)]]/Sheet1[[#This Row],[Circulating Supply]],0)</f>
        <v>4.2642857142857144E-3</v>
      </c>
      <c r="I51">
        <f>RANK(Table2[[#This Row],[Market Cap]],Table2[Market Cap],0)</f>
        <v>68</v>
      </c>
      <c r="J51" t="str">
        <f t="shared" si="0"/>
        <v>0-0.5</v>
      </c>
    </row>
    <row r="52" spans="1:10" x14ac:dyDescent="0.3">
      <c r="A52" t="s">
        <v>340</v>
      </c>
      <c r="B52" t="s">
        <v>341</v>
      </c>
      <c r="C52">
        <v>389.13</v>
      </c>
      <c r="D52">
        <v>0.47</v>
      </c>
      <c r="E52">
        <v>5660000</v>
      </c>
      <c r="F52">
        <v>3050000</v>
      </c>
      <c r="G52">
        <v>14550</v>
      </c>
      <c r="H52">
        <f>IFERROR(Sheet1[[#This Row],[Volume (24h)]]/Sheet1[[#This Row],[Circulating Supply]],0)</f>
        <v>0</v>
      </c>
      <c r="I52">
        <f>RANK(Table2[[#This Row],[Market Cap]],Table2[Market Cap],0)</f>
        <v>174</v>
      </c>
      <c r="J52" t="str">
        <f t="shared" si="0"/>
        <v>100-10000</v>
      </c>
    </row>
    <row r="53" spans="1:10" x14ac:dyDescent="0.3">
      <c r="A53" t="s">
        <v>366</v>
      </c>
      <c r="B53" t="s">
        <v>367</v>
      </c>
      <c r="C53">
        <v>2.3269999999999999E-5</v>
      </c>
      <c r="D53">
        <v>0</v>
      </c>
      <c r="E53">
        <v>4280000</v>
      </c>
      <c r="F53">
        <v>0</v>
      </c>
      <c r="G53">
        <v>184060000000</v>
      </c>
      <c r="H53">
        <f>IFERROR(Sheet1[[#This Row],[Volume (24h)]]/Sheet1[[#This Row],[Circulating Supply]],0)</f>
        <v>6.0526315789473685E-3</v>
      </c>
      <c r="I53">
        <f>RANK(Table2[[#This Row],[Market Cap]],Table2[Market Cap],0)</f>
        <v>188</v>
      </c>
      <c r="J53" t="str">
        <f t="shared" si="0"/>
        <v>0-0.5</v>
      </c>
    </row>
    <row r="54" spans="1:10" x14ac:dyDescent="0.3">
      <c r="A54" t="s">
        <v>73</v>
      </c>
      <c r="B54" t="s">
        <v>74</v>
      </c>
      <c r="C54">
        <v>0.1946</v>
      </c>
      <c r="D54">
        <v>1.1399999999999999</v>
      </c>
      <c r="E54">
        <v>867730000</v>
      </c>
      <c r="F54">
        <v>14480000</v>
      </c>
      <c r="G54">
        <v>4450000000</v>
      </c>
      <c r="H54">
        <f>IFERROR(Sheet1[[#This Row],[Volume (24h)]]/Sheet1[[#This Row],[Circulating Supply]],0)</f>
        <v>0.12641204948897256</v>
      </c>
      <c r="I54">
        <f>RANK(Table2[[#This Row],[Market Cap]],Table2[Market Cap],0)</f>
        <v>21</v>
      </c>
      <c r="J54" t="str">
        <f t="shared" si="0"/>
        <v>0-0.5</v>
      </c>
    </row>
    <row r="55" spans="1:10" x14ac:dyDescent="0.3">
      <c r="A55" t="s">
        <v>32</v>
      </c>
      <c r="B55" t="s">
        <v>33</v>
      </c>
      <c r="C55">
        <v>0.16869999999999999</v>
      </c>
      <c r="D55">
        <v>0.85</v>
      </c>
      <c r="E55">
        <v>6160000000</v>
      </c>
      <c r="F55">
        <v>318820000</v>
      </c>
      <c r="G55">
        <v>36500000000</v>
      </c>
      <c r="H55">
        <f>IFERROR(Sheet1[[#This Row],[Volume (24h)]]/Sheet1[[#This Row],[Circulating Supply]],0)</f>
        <v>0.12239401496259351</v>
      </c>
      <c r="I55">
        <f>RANK(Table2[[#This Row],[Market Cap]],Table2[Market Cap],0)</f>
        <v>16</v>
      </c>
      <c r="J55" t="str">
        <f t="shared" si="0"/>
        <v>0-0.5</v>
      </c>
    </row>
    <row r="56" spans="1:10" x14ac:dyDescent="0.3">
      <c r="A56" t="s">
        <v>376</v>
      </c>
      <c r="B56" t="s">
        <v>377</v>
      </c>
      <c r="C56">
        <v>7.7348E-2</v>
      </c>
      <c r="D56">
        <v>0.13</v>
      </c>
      <c r="E56">
        <v>4200000</v>
      </c>
      <c r="F56">
        <v>838.91</v>
      </c>
      <c r="G56">
        <v>57270000000000</v>
      </c>
      <c r="H56">
        <f>IFERROR(Sheet1[[#This Row],[Volume (24h)]]/Sheet1[[#This Row],[Circulating Supply]],0)</f>
        <v>1.0827656182055371E-4</v>
      </c>
      <c r="I56">
        <f>RANK(Table2[[#This Row],[Market Cap]],Table2[Market Cap],0)</f>
        <v>194</v>
      </c>
      <c r="J56" t="str">
        <f t="shared" si="0"/>
        <v>0-0.5</v>
      </c>
    </row>
    <row r="57" spans="1:10" x14ac:dyDescent="0.3">
      <c r="A57" t="s">
        <v>550</v>
      </c>
      <c r="B57" t="s">
        <v>551</v>
      </c>
      <c r="C57">
        <v>2.0139999999999999E-4</v>
      </c>
      <c r="D57">
        <v>0</v>
      </c>
      <c r="E57">
        <v>880500</v>
      </c>
      <c r="F57">
        <v>0</v>
      </c>
      <c r="G57">
        <v>4370000000</v>
      </c>
      <c r="H57">
        <f>IFERROR(Sheet1[[#This Row],[Volume (24h)]]/Sheet1[[#This Row],[Circulating Supply]],0)</f>
        <v>8.998956121089953E-3</v>
      </c>
      <c r="I57">
        <f>RANK(Table2[[#This Row],[Market Cap]],Table2[Market Cap],0)</f>
        <v>288</v>
      </c>
      <c r="J57" t="str">
        <f t="shared" si="0"/>
        <v>0-0.5</v>
      </c>
    </row>
    <row r="58" spans="1:10" x14ac:dyDescent="0.3">
      <c r="A58" t="s">
        <v>144</v>
      </c>
      <c r="B58" t="s">
        <v>145</v>
      </c>
      <c r="C58">
        <v>6.2759999999999996E-2</v>
      </c>
      <c r="D58">
        <v>0.03</v>
      </c>
      <c r="E58">
        <v>37890000</v>
      </c>
      <c r="F58">
        <v>2010000</v>
      </c>
      <c r="G58">
        <v>603760000</v>
      </c>
      <c r="H58">
        <f>IFERROR(Sheet1[[#This Row],[Volume (24h)]]/Sheet1[[#This Row],[Circulating Supply]],0)</f>
        <v>2.4290974869177594E-2</v>
      </c>
      <c r="I58">
        <f>RANK(Table2[[#This Row],[Market Cap]],Table2[Market Cap],0)</f>
        <v>72</v>
      </c>
      <c r="J58" t="str">
        <f t="shared" si="0"/>
        <v>0-0.5</v>
      </c>
    </row>
    <row r="59" spans="1:10" x14ac:dyDescent="0.3">
      <c r="A59" t="s">
        <v>398</v>
      </c>
      <c r="B59" t="s">
        <v>399</v>
      </c>
      <c r="C59">
        <v>1.2409999999999999E-3</v>
      </c>
      <c r="D59">
        <v>0.23</v>
      </c>
      <c r="E59">
        <v>3280000</v>
      </c>
      <c r="F59">
        <v>169600</v>
      </c>
      <c r="G59">
        <v>2650000000</v>
      </c>
      <c r="H59">
        <f>IFERROR(Sheet1[[#This Row],[Volume (24h)]]/Sheet1[[#This Row],[Circulating Supply]],0)</f>
        <v>1.7315370759531672E-3</v>
      </c>
      <c r="I59">
        <f>RANK(Table2[[#This Row],[Market Cap]],Table2[Market Cap],0)</f>
        <v>204</v>
      </c>
      <c r="J59" t="str">
        <f t="shared" si="0"/>
        <v>0-0.5</v>
      </c>
    </row>
    <row r="60" spans="1:10" x14ac:dyDescent="0.3">
      <c r="A60" t="s">
        <v>499</v>
      </c>
      <c r="B60" t="s">
        <v>500</v>
      </c>
      <c r="C60">
        <v>2.3650000000000001E-2</v>
      </c>
      <c r="D60">
        <v>0.02</v>
      </c>
      <c r="E60">
        <v>1280000</v>
      </c>
      <c r="F60">
        <v>0</v>
      </c>
      <c r="G60">
        <v>54380000</v>
      </c>
      <c r="H60">
        <f>IFERROR(Sheet1[[#This Row],[Volume (24h)]]/Sheet1[[#This Row],[Circulating Supply]],0)</f>
        <v>7.8562753036437241E-5</v>
      </c>
      <c r="I60">
        <f>RANK(Table2[[#This Row],[Market Cap]],Table2[Market Cap],0)</f>
        <v>260</v>
      </c>
      <c r="J60" t="str">
        <f t="shared" si="0"/>
        <v>0-0.5</v>
      </c>
    </row>
    <row r="61" spans="1:10" x14ac:dyDescent="0.3">
      <c r="A61" t="s">
        <v>186</v>
      </c>
      <c r="B61" t="s">
        <v>187</v>
      </c>
      <c r="C61">
        <v>1.42</v>
      </c>
      <c r="D61">
        <v>0.46</v>
      </c>
      <c r="E61">
        <v>20520000</v>
      </c>
      <c r="F61">
        <v>786200</v>
      </c>
      <c r="G61">
        <v>14410000</v>
      </c>
      <c r="H61">
        <f>IFERROR(Sheet1[[#This Row],[Volume (24h)]]/Sheet1[[#This Row],[Circulating Supply]],0)</f>
        <v>1.6666666666666666E-4</v>
      </c>
      <c r="I61">
        <f>RANK(Table2[[#This Row],[Market Cap]],Table2[Market Cap],0)</f>
        <v>94</v>
      </c>
      <c r="J61" t="str">
        <f t="shared" si="0"/>
        <v>1-2</v>
      </c>
    </row>
    <row r="62" spans="1:10" x14ac:dyDescent="0.3">
      <c r="A62" t="s">
        <v>274</v>
      </c>
      <c r="B62" t="s">
        <v>275</v>
      </c>
      <c r="C62">
        <v>0.1129</v>
      </c>
      <c r="D62">
        <v>0.12</v>
      </c>
      <c r="E62">
        <v>9260000</v>
      </c>
      <c r="F62">
        <v>0</v>
      </c>
      <c r="G62">
        <v>82070000</v>
      </c>
      <c r="H62">
        <f>IFERROR(Sheet1[[#This Row],[Volume (24h)]]/Sheet1[[#This Row],[Circulating Supply]],0)</f>
        <v>14.440618736831286</v>
      </c>
      <c r="I62">
        <f>RANK(Table2[[#This Row],[Market Cap]],Table2[Market Cap],0)</f>
        <v>140</v>
      </c>
      <c r="J62" t="str">
        <f t="shared" si="0"/>
        <v>0-0.5</v>
      </c>
    </row>
    <row r="63" spans="1:10" x14ac:dyDescent="0.3">
      <c r="A63" t="s">
        <v>469</v>
      </c>
      <c r="B63" t="s">
        <v>470</v>
      </c>
      <c r="C63">
        <v>145.94</v>
      </c>
      <c r="D63">
        <v>0.63</v>
      </c>
      <c r="E63">
        <v>1600000</v>
      </c>
      <c r="F63">
        <v>468100</v>
      </c>
      <c r="G63">
        <v>10970</v>
      </c>
      <c r="H63">
        <f>IFERROR(Sheet1[[#This Row],[Volume (24h)]]/Sheet1[[#This Row],[Circulating Supply]],0)</f>
        <v>7.4111857897263562E-3</v>
      </c>
      <c r="I63">
        <f>RANK(Table2[[#This Row],[Market Cap]],Table2[Market Cap],0)</f>
        <v>243</v>
      </c>
      <c r="J63" t="str">
        <f t="shared" si="0"/>
        <v>100-10000</v>
      </c>
    </row>
    <row r="64" spans="1:10" x14ac:dyDescent="0.3">
      <c r="A64" t="s">
        <v>7</v>
      </c>
      <c r="B64" t="s">
        <v>8</v>
      </c>
      <c r="C64">
        <v>127.69</v>
      </c>
      <c r="D64">
        <v>0.16</v>
      </c>
      <c r="E64">
        <v>6050000</v>
      </c>
      <c r="F64">
        <v>1570000</v>
      </c>
      <c r="G64">
        <v>47430</v>
      </c>
      <c r="H64">
        <f>IFERROR(Sheet1[[#This Row],[Volume (24h)]]/Sheet1[[#This Row],[Circulating Supply]],0)</f>
        <v>3.9098912480580008E-3</v>
      </c>
      <c r="I64">
        <f>RANK(Table2[[#This Row],[Market Cap]],Table2[Market Cap],0)</f>
        <v>165</v>
      </c>
      <c r="J64" t="str">
        <f t="shared" si="0"/>
        <v>100-10000</v>
      </c>
    </row>
    <row r="65" spans="1:10" x14ac:dyDescent="0.3">
      <c r="A65" t="s">
        <v>55</v>
      </c>
      <c r="B65" t="s">
        <v>56</v>
      </c>
      <c r="C65">
        <v>4.2750000000000003E-2</v>
      </c>
      <c r="D65">
        <v>0.84</v>
      </c>
      <c r="E65">
        <v>223520000</v>
      </c>
      <c r="F65">
        <v>87220000</v>
      </c>
      <c r="G65">
        <v>5220000000</v>
      </c>
      <c r="H65">
        <f>IFERROR(Sheet1[[#This Row],[Volume (24h)]]/Sheet1[[#This Row],[Circulating Supply]],0)</f>
        <v>1.6950103696474321E-3</v>
      </c>
      <c r="I65">
        <f>RANK(Table2[[#This Row],[Market Cap]],Table2[Market Cap],0)</f>
        <v>41</v>
      </c>
      <c r="J65" t="str">
        <f t="shared" si="0"/>
        <v>0-0.5</v>
      </c>
    </row>
    <row r="66" spans="1:10" x14ac:dyDescent="0.3">
      <c r="A66" t="s">
        <v>138</v>
      </c>
      <c r="B66" t="s">
        <v>139</v>
      </c>
      <c r="C66">
        <v>6.9989999999999997E-2</v>
      </c>
      <c r="D66">
        <v>0.66</v>
      </c>
      <c r="E66">
        <v>38460000</v>
      </c>
      <c r="F66">
        <v>3450000</v>
      </c>
      <c r="G66">
        <v>549560000</v>
      </c>
      <c r="H66">
        <f>IFERROR(Sheet1[[#This Row],[Volume (24h)]]/Sheet1[[#This Row],[Circulating Supply]],0)</f>
        <v>7.713004484304933E-4</v>
      </c>
      <c r="I66">
        <f>RANK(Table2[[#This Row],[Market Cap]],Table2[Market Cap],0)</f>
        <v>69</v>
      </c>
      <c r="J66" t="str">
        <f t="shared" ref="J66:J129" si="1">IF(C66&lt;=0.5,"0-0.5",
IF(C66&lt;=1,"0.5-1",
IF(C66&lt;=2,"1-2",
IF(C66&lt;=10,"2-10",
IF(C66&lt;=100,"10-100",
IF(C66&lt;=10000,"100-10000",
"10000+"))))))</f>
        <v>0-0.5</v>
      </c>
    </row>
    <row r="67" spans="1:10" x14ac:dyDescent="0.3">
      <c r="A67" t="s">
        <v>515</v>
      </c>
      <c r="B67" t="s">
        <v>516</v>
      </c>
      <c r="C67">
        <v>3.3140000000000001E-3</v>
      </c>
      <c r="D67">
        <v>0.38</v>
      </c>
      <c r="E67">
        <v>1260000</v>
      </c>
      <c r="F67">
        <v>54550</v>
      </c>
      <c r="G67">
        <v>382950000</v>
      </c>
      <c r="H67">
        <f>IFERROR(Sheet1[[#This Row],[Volume (24h)]]/Sheet1[[#This Row],[Circulating Supply]],0)</f>
        <v>2.1250000000000002E-3</v>
      </c>
      <c r="I67">
        <f>RANK(Table2[[#This Row],[Market Cap]],Table2[Market Cap],0)</f>
        <v>269</v>
      </c>
      <c r="J67" t="str">
        <f t="shared" si="1"/>
        <v>0-0.5</v>
      </c>
    </row>
    <row r="68" spans="1:10" x14ac:dyDescent="0.3">
      <c r="A68" t="s">
        <v>315</v>
      </c>
      <c r="B68" t="s">
        <v>316</v>
      </c>
      <c r="C68">
        <v>8.4909999999999998E-4</v>
      </c>
      <c r="D68">
        <v>1.8</v>
      </c>
      <c r="E68">
        <v>7130000</v>
      </c>
      <c r="F68">
        <v>448520</v>
      </c>
      <c r="G68">
        <v>8390000000.000001</v>
      </c>
      <c r="H68">
        <f>IFERROR(Sheet1[[#This Row],[Volume (24h)]]/Sheet1[[#This Row],[Circulating Supply]],0)</f>
        <v>1.8486276116345758E-8</v>
      </c>
      <c r="I68">
        <f>RANK(Table2[[#This Row],[Market Cap]],Table2[Market Cap],0)</f>
        <v>161</v>
      </c>
      <c r="J68" t="str">
        <f t="shared" si="1"/>
        <v>0-0.5</v>
      </c>
    </row>
    <row r="69" spans="1:10" x14ac:dyDescent="0.3">
      <c r="A69" t="s">
        <v>276</v>
      </c>
      <c r="B69" t="s">
        <v>277</v>
      </c>
      <c r="C69">
        <v>1.6049999999999998E-2</v>
      </c>
      <c r="D69">
        <v>0.21</v>
      </c>
      <c r="E69">
        <v>9210000</v>
      </c>
      <c r="F69">
        <v>256790</v>
      </c>
      <c r="G69">
        <v>574370000</v>
      </c>
      <c r="H69">
        <f>IFERROR(Sheet1[[#This Row],[Volume (24h)]]/Sheet1[[#This Row],[Circulating Supply]],0)</f>
        <v>1.7922619047619048E-2</v>
      </c>
      <c r="I69">
        <f>RANK(Table2[[#This Row],[Market Cap]],Table2[Market Cap],0)</f>
        <v>141</v>
      </c>
      <c r="J69" t="str">
        <f t="shared" si="1"/>
        <v>0-0.5</v>
      </c>
    </row>
    <row r="70" spans="1:10" x14ac:dyDescent="0.3">
      <c r="A70" t="s">
        <v>65</v>
      </c>
      <c r="B70" t="s">
        <v>66</v>
      </c>
      <c r="C70">
        <v>0.7339</v>
      </c>
      <c r="D70">
        <v>1.1299999999999999</v>
      </c>
      <c r="E70">
        <v>8160000000</v>
      </c>
      <c r="F70">
        <v>236610</v>
      </c>
      <c r="G70">
        <v>11120000000</v>
      </c>
      <c r="H70">
        <f>IFERROR(Sheet1[[#This Row],[Volume (24h)]]/Sheet1[[#This Row],[Circulating Supply]],0)</f>
        <v>4.2942942942942941E-4</v>
      </c>
      <c r="I70">
        <f>RANK(Table2[[#This Row],[Market Cap]],Table2[Market Cap],0)</f>
        <v>13</v>
      </c>
      <c r="J70" t="str">
        <f t="shared" si="1"/>
        <v>0.5-1</v>
      </c>
    </row>
    <row r="71" spans="1:10" x14ac:dyDescent="0.3">
      <c r="A71" t="s">
        <v>53</v>
      </c>
      <c r="B71" t="s">
        <v>54</v>
      </c>
      <c r="C71">
        <v>13.16</v>
      </c>
      <c r="D71">
        <v>0.13</v>
      </c>
      <c r="E71">
        <v>230930000</v>
      </c>
      <c r="F71">
        <v>3640000</v>
      </c>
      <c r="G71">
        <v>17530000</v>
      </c>
      <c r="H71">
        <f>IFERROR(Sheet1[[#This Row],[Volume (24h)]]/Sheet1[[#This Row],[Circulating Supply]],0)</f>
        <v>6.2777494723051169E-3</v>
      </c>
      <c r="I71">
        <f>RANK(Table2[[#This Row],[Market Cap]],Table2[Market Cap],0)</f>
        <v>40</v>
      </c>
      <c r="J71" t="str">
        <f t="shared" si="1"/>
        <v>10-100</v>
      </c>
    </row>
    <row r="72" spans="1:10" x14ac:dyDescent="0.3">
      <c r="A72" t="s">
        <v>552</v>
      </c>
      <c r="B72" t="s">
        <v>553</v>
      </c>
      <c r="C72">
        <v>1.6210000000000001E-4</v>
      </c>
      <c r="D72">
        <v>0.01</v>
      </c>
      <c r="E72">
        <v>880190</v>
      </c>
      <c r="F72">
        <v>11550</v>
      </c>
      <c r="G72">
        <v>5420000000</v>
      </c>
      <c r="H72">
        <f>IFERROR(Sheet1[[#This Row],[Volume (24h)]]/Sheet1[[#This Row],[Circulating Supply]],0)</f>
        <v>0.16178690009055238</v>
      </c>
      <c r="I72">
        <f>RANK(Table2[[#This Row],[Market Cap]],Table2[Market Cap],0)</f>
        <v>289</v>
      </c>
      <c r="J72" t="str">
        <f t="shared" si="1"/>
        <v>0-0.5</v>
      </c>
    </row>
    <row r="73" spans="1:10" x14ac:dyDescent="0.3">
      <c r="A73" t="s">
        <v>558</v>
      </c>
      <c r="B73" t="s">
        <v>559</v>
      </c>
      <c r="C73">
        <v>3.884E-2</v>
      </c>
      <c r="D73">
        <v>0.46</v>
      </c>
      <c r="E73">
        <v>874010</v>
      </c>
      <c r="F73">
        <v>2180000</v>
      </c>
      <c r="G73">
        <v>22500000</v>
      </c>
      <c r="H73">
        <f>IFERROR(Sheet1[[#This Row],[Volume (24h)]]/Sheet1[[#This Row],[Circulating Supply]],0)</f>
        <v>0.11540860885839052</v>
      </c>
      <c r="I73">
        <f>RANK(Table2[[#This Row],[Market Cap]],Table2[Market Cap],0)</f>
        <v>291</v>
      </c>
      <c r="J73" t="str">
        <f t="shared" si="1"/>
        <v>0-0.5</v>
      </c>
    </row>
    <row r="74" spans="1:10" x14ac:dyDescent="0.3">
      <c r="A74" t="s">
        <v>501</v>
      </c>
      <c r="B74" t="s">
        <v>494</v>
      </c>
      <c r="C74">
        <v>4.7910000000000001E-3</v>
      </c>
      <c r="D74">
        <v>0</v>
      </c>
      <c r="E74">
        <v>1280000</v>
      </c>
      <c r="F74">
        <v>0</v>
      </c>
      <c r="G74">
        <v>267950000</v>
      </c>
      <c r="H74">
        <f>IFERROR(Sheet1[[#This Row],[Volume (24h)]]/Sheet1[[#This Row],[Circulating Supply]],0)</f>
        <v>3.3291374055916256E-3</v>
      </c>
      <c r="I74">
        <f>RANK(Table2[[#This Row],[Market Cap]],Table2[Market Cap],0)</f>
        <v>260</v>
      </c>
      <c r="J74" t="str">
        <f t="shared" si="1"/>
        <v>0-0.5</v>
      </c>
    </row>
    <row r="75" spans="1:10" x14ac:dyDescent="0.3">
      <c r="A75" t="s">
        <v>394</v>
      </c>
      <c r="B75" t="s">
        <v>395</v>
      </c>
      <c r="C75">
        <v>0.99980000000000002</v>
      </c>
      <c r="D75">
        <v>0</v>
      </c>
      <c r="E75">
        <v>3290000</v>
      </c>
      <c r="F75">
        <v>0</v>
      </c>
      <c r="G75">
        <v>3290000</v>
      </c>
      <c r="H75">
        <f>IFERROR(Sheet1[[#This Row],[Volume (24h)]]/Sheet1[[#This Row],[Circulating Supply]],0)</f>
        <v>2.7777777777777777</v>
      </c>
      <c r="I75">
        <f>RANK(Table2[[#This Row],[Market Cap]],Table2[Market Cap],0)</f>
        <v>200</v>
      </c>
      <c r="J75" t="str">
        <f t="shared" si="1"/>
        <v>0.5-1</v>
      </c>
    </row>
    <row r="76" spans="1:10" x14ac:dyDescent="0.3">
      <c r="A76" t="s">
        <v>24</v>
      </c>
      <c r="B76" t="s">
        <v>25</v>
      </c>
      <c r="C76">
        <v>6.9449999999999998E-2</v>
      </c>
      <c r="D76">
        <v>0.41</v>
      </c>
      <c r="E76">
        <v>10780000000</v>
      </c>
      <c r="F76">
        <v>572720000</v>
      </c>
      <c r="G76">
        <v>155300000000</v>
      </c>
      <c r="H76">
        <f>IFERROR(Sheet1[[#This Row],[Volume (24h)]]/Sheet1[[#This Row],[Circulating Supply]],0)</f>
        <v>5.4843396226415093E-4</v>
      </c>
      <c r="I76">
        <f>RANK(Table2[[#This Row],[Market Cap]],Table2[Market Cap],0)</f>
        <v>10</v>
      </c>
      <c r="J76" t="str">
        <f t="shared" si="1"/>
        <v>0-0.5</v>
      </c>
    </row>
    <row r="77" spans="1:10" x14ac:dyDescent="0.3">
      <c r="A77" t="s">
        <v>280</v>
      </c>
      <c r="B77" t="s">
        <v>281</v>
      </c>
      <c r="C77">
        <v>2.0840000000000001E-2</v>
      </c>
      <c r="D77">
        <v>0.02</v>
      </c>
      <c r="E77">
        <v>9200000</v>
      </c>
      <c r="F77">
        <v>2570000</v>
      </c>
      <c r="G77">
        <v>441620000</v>
      </c>
      <c r="H77">
        <f>IFERROR(Sheet1[[#This Row],[Volume (24h)]]/Sheet1[[#This Row],[Circulating Supply]],0)</f>
        <v>2.2058998312296465E-5</v>
      </c>
      <c r="I77">
        <f>RANK(Table2[[#This Row],[Market Cap]],Table2[Market Cap],0)</f>
        <v>142</v>
      </c>
      <c r="J77" t="str">
        <f t="shared" si="1"/>
        <v>0-0.5</v>
      </c>
    </row>
    <row r="78" spans="1:10" x14ac:dyDescent="0.3">
      <c r="A78" t="s">
        <v>471</v>
      </c>
      <c r="B78" t="s">
        <v>472</v>
      </c>
      <c r="C78">
        <v>2.98E-3</v>
      </c>
      <c r="D78">
        <v>1.36</v>
      </c>
      <c r="E78">
        <v>1600000</v>
      </c>
      <c r="F78">
        <v>151140</v>
      </c>
      <c r="G78">
        <v>537270000</v>
      </c>
      <c r="H78">
        <f>IFERROR(Sheet1[[#This Row],[Volume (24h)]]/Sheet1[[#This Row],[Circulating Supply]],0)</f>
        <v>2.965777777777778E-4</v>
      </c>
      <c r="I78">
        <f>RANK(Table2[[#This Row],[Market Cap]],Table2[Market Cap],0)</f>
        <v>243</v>
      </c>
      <c r="J78" t="str">
        <f t="shared" si="1"/>
        <v>0-0.5</v>
      </c>
    </row>
    <row r="79" spans="1:10" x14ac:dyDescent="0.3">
      <c r="A79" t="s">
        <v>435</v>
      </c>
      <c r="B79" t="s">
        <v>436</v>
      </c>
      <c r="C79">
        <v>2.0470000000000002E-3</v>
      </c>
      <c r="D79">
        <v>0.52</v>
      </c>
      <c r="E79">
        <v>2040000</v>
      </c>
      <c r="F79">
        <v>159560</v>
      </c>
      <c r="G79">
        <v>999970000</v>
      </c>
      <c r="H79">
        <f>IFERROR(Sheet1[[#This Row],[Volume (24h)]]/Sheet1[[#This Row],[Circulating Supply]],0)</f>
        <v>3.3693693693693695E-6</v>
      </c>
      <c r="I79">
        <f>RANK(Table2[[#This Row],[Market Cap]],Table2[Market Cap],0)</f>
        <v>226</v>
      </c>
      <c r="J79" t="str">
        <f t="shared" si="1"/>
        <v>0-0.5</v>
      </c>
    </row>
    <row r="80" spans="1:10" x14ac:dyDescent="0.3">
      <c r="A80" t="s">
        <v>294</v>
      </c>
      <c r="B80" t="s">
        <v>295</v>
      </c>
      <c r="C80">
        <v>1.213E-2</v>
      </c>
      <c r="D80">
        <v>3.01</v>
      </c>
      <c r="E80">
        <v>7420000</v>
      </c>
      <c r="F80">
        <v>2370000</v>
      </c>
      <c r="G80">
        <v>611510000</v>
      </c>
      <c r="H80">
        <f>IFERROR(Sheet1[[#This Row],[Volume (24h)]]/Sheet1[[#This Row],[Circulating Supply]],0)</f>
        <v>0</v>
      </c>
      <c r="I80">
        <f>RANK(Table2[[#This Row],[Market Cap]],Table2[Market Cap],0)</f>
        <v>150</v>
      </c>
      <c r="J80" t="str">
        <f t="shared" si="1"/>
        <v>0-0.5</v>
      </c>
    </row>
    <row r="81" spans="1:10" x14ac:dyDescent="0.3">
      <c r="A81" t="s">
        <v>88</v>
      </c>
      <c r="B81" t="s">
        <v>89</v>
      </c>
      <c r="C81">
        <v>6.2890000000000005E-4</v>
      </c>
      <c r="D81">
        <v>0.02</v>
      </c>
      <c r="E81">
        <v>260640000</v>
      </c>
      <c r="F81">
        <v>917.45</v>
      </c>
      <c r="G81">
        <v>414400000000</v>
      </c>
      <c r="H81">
        <f>IFERROR(Sheet1[[#This Row],[Volume (24h)]]/Sheet1[[#This Row],[Circulating Supply]],0)</f>
        <v>1.0097087378640777</v>
      </c>
      <c r="I81">
        <f>RANK(Table2[[#This Row],[Market Cap]],Table2[Market Cap],0)</f>
        <v>31</v>
      </c>
      <c r="J81" t="str">
        <f t="shared" si="1"/>
        <v>0-0.5</v>
      </c>
    </row>
    <row r="82" spans="1:10" x14ac:dyDescent="0.3">
      <c r="A82" t="s">
        <v>165</v>
      </c>
      <c r="B82" t="s">
        <v>166</v>
      </c>
      <c r="C82">
        <v>5.6770000000000001E-2</v>
      </c>
      <c r="D82">
        <v>0.47</v>
      </c>
      <c r="E82">
        <v>28210000</v>
      </c>
      <c r="F82">
        <v>3250000</v>
      </c>
      <c r="G82">
        <v>496990000</v>
      </c>
      <c r="H82">
        <f>IFERROR(Sheet1[[#This Row],[Volume (24h)]]/Sheet1[[#This Row],[Circulating Supply]],0)</f>
        <v>3.2733678833749673E-10</v>
      </c>
      <c r="I82">
        <f>RANK(Table2[[#This Row],[Market Cap]],Table2[Market Cap],0)</f>
        <v>83</v>
      </c>
      <c r="J82" t="str">
        <f t="shared" si="1"/>
        <v>0-0.5</v>
      </c>
    </row>
    <row r="83" spans="1:10" x14ac:dyDescent="0.3">
      <c r="A83" t="s">
        <v>429</v>
      </c>
      <c r="B83" t="s">
        <v>430</v>
      </c>
      <c r="C83">
        <v>1.7700000000000001E-3</v>
      </c>
      <c r="D83">
        <v>0.52</v>
      </c>
      <c r="E83">
        <v>2540000</v>
      </c>
      <c r="F83">
        <v>23360</v>
      </c>
      <c r="G83">
        <v>1430000000</v>
      </c>
      <c r="H83">
        <f>IFERROR(Sheet1[[#This Row],[Volume (24h)]]/Sheet1[[#This Row],[Circulating Supply]],0)</f>
        <v>6.9437455972627549E-6</v>
      </c>
      <c r="I83">
        <f>RANK(Table2[[#This Row],[Market Cap]],Table2[Market Cap],0)</f>
        <v>222</v>
      </c>
      <c r="J83" t="str">
        <f t="shared" si="1"/>
        <v>0-0.5</v>
      </c>
    </row>
    <row r="84" spans="1:10" x14ac:dyDescent="0.3">
      <c r="A84" t="s">
        <v>352</v>
      </c>
      <c r="B84" t="s">
        <v>353</v>
      </c>
      <c r="C84">
        <v>7.1089999999999999E-3</v>
      </c>
      <c r="D84">
        <v>0.54</v>
      </c>
      <c r="E84">
        <v>4380000</v>
      </c>
      <c r="F84">
        <v>698800</v>
      </c>
      <c r="G84">
        <v>616750000</v>
      </c>
      <c r="H84">
        <f>IFERROR(Sheet1[[#This Row],[Volume (24h)]]/Sheet1[[#This Row],[Circulating Supply]],0)</f>
        <v>4.4448411281685113E-5</v>
      </c>
      <c r="I84">
        <f>RANK(Table2[[#This Row],[Market Cap]],Table2[Market Cap],0)</f>
        <v>181</v>
      </c>
      <c r="J84" t="str">
        <f t="shared" si="1"/>
        <v>0-0.5</v>
      </c>
    </row>
    <row r="85" spans="1:10" x14ac:dyDescent="0.3">
      <c r="A85" t="s">
        <v>336</v>
      </c>
      <c r="B85" t="s">
        <v>337</v>
      </c>
      <c r="C85">
        <v>0.24560000000000001</v>
      </c>
      <c r="D85">
        <v>0.01</v>
      </c>
      <c r="E85">
        <v>5670000</v>
      </c>
      <c r="F85">
        <v>243470</v>
      </c>
      <c r="G85">
        <v>23080000</v>
      </c>
      <c r="H85">
        <f>IFERROR(Sheet1[[#This Row],[Volume (24h)]]/Sheet1[[#This Row],[Circulating Supply]],0)</f>
        <v>6.5393669892754381E-3</v>
      </c>
      <c r="I85">
        <f>RANK(Table2[[#This Row],[Market Cap]],Table2[Market Cap],0)</f>
        <v>172</v>
      </c>
      <c r="J85" t="str">
        <f t="shared" si="1"/>
        <v>0-0.5</v>
      </c>
    </row>
    <row r="86" spans="1:10" x14ac:dyDescent="0.3">
      <c r="A86" t="s">
        <v>11</v>
      </c>
      <c r="B86" t="s">
        <v>12</v>
      </c>
      <c r="C86">
        <v>1861.07</v>
      </c>
      <c r="D86">
        <v>0.27</v>
      </c>
      <c r="E86">
        <v>224490000000</v>
      </c>
      <c r="F86">
        <v>10560000000</v>
      </c>
      <c r="G86">
        <v>120680000</v>
      </c>
      <c r="H86">
        <f>IFERROR(Sheet1[[#This Row],[Volume (24h)]]/Sheet1[[#This Row],[Circulating Supply]],0)</f>
        <v>1.5177865612648221E-2</v>
      </c>
      <c r="I86">
        <f>RANK(Table2[[#This Row],[Market Cap]],Table2[Market Cap],0)</f>
        <v>2</v>
      </c>
      <c r="J86" t="str">
        <f t="shared" si="1"/>
        <v>100-10000</v>
      </c>
    </row>
    <row r="87" spans="1:10" x14ac:dyDescent="0.3">
      <c r="A87" t="s">
        <v>140</v>
      </c>
      <c r="B87" t="s">
        <v>141</v>
      </c>
      <c r="C87">
        <v>1.1499999999999999</v>
      </c>
      <c r="D87">
        <v>0.01</v>
      </c>
      <c r="E87">
        <v>38180000</v>
      </c>
      <c r="F87">
        <v>5360000</v>
      </c>
      <c r="G87">
        <v>33130000</v>
      </c>
      <c r="H87">
        <f>IFERROR(Sheet1[[#This Row],[Volume (24h)]]/Sheet1[[#This Row],[Circulating Supply]],0)</f>
        <v>4.6466845277963829E-3</v>
      </c>
      <c r="I87">
        <f>RANK(Table2[[#This Row],[Market Cap]],Table2[Market Cap],0)</f>
        <v>70</v>
      </c>
      <c r="J87" t="str">
        <f t="shared" si="1"/>
        <v>1-2</v>
      </c>
    </row>
    <row r="88" spans="1:10" x14ac:dyDescent="0.3">
      <c r="A88" t="s">
        <v>70</v>
      </c>
      <c r="B88" t="s">
        <v>71</v>
      </c>
      <c r="C88">
        <v>0.99519999999999997</v>
      </c>
      <c r="D88">
        <v>0.06</v>
      </c>
      <c r="E88">
        <v>1250000000</v>
      </c>
      <c r="F88">
        <v>587510</v>
      </c>
      <c r="G88">
        <v>1260000000</v>
      </c>
      <c r="H88">
        <f>IFERROR(Sheet1[[#This Row],[Volume (24h)]]/Sheet1[[#This Row],[Circulating Supply]],0)</f>
        <v>302.16824258232799</v>
      </c>
      <c r="I88">
        <f>RANK(Table2[[#This Row],[Market Cap]],Table2[Market Cap],0)</f>
        <v>19</v>
      </c>
      <c r="J88" t="str">
        <f t="shared" si="1"/>
        <v>0.5-1</v>
      </c>
    </row>
    <row r="89" spans="1:10" x14ac:dyDescent="0.3">
      <c r="A89" t="s">
        <v>292</v>
      </c>
      <c r="B89" t="s">
        <v>293</v>
      </c>
      <c r="C89">
        <v>9.1590000000000005E-3</v>
      </c>
      <c r="D89">
        <v>0.08</v>
      </c>
      <c r="E89">
        <v>9150000</v>
      </c>
      <c r="F89">
        <v>463990</v>
      </c>
      <c r="G89">
        <v>999440000</v>
      </c>
      <c r="H89">
        <f>IFERROR(Sheet1[[#This Row],[Volume (24h)]]/Sheet1[[#This Row],[Circulating Supply]],0)</f>
        <v>2.80694033008887</v>
      </c>
      <c r="I89">
        <f>RANK(Table2[[#This Row],[Market Cap]],Table2[Market Cap],0)</f>
        <v>148</v>
      </c>
      <c r="J89" t="str">
        <f t="shared" si="1"/>
        <v>0-0.5</v>
      </c>
    </row>
    <row r="90" spans="1:10" x14ac:dyDescent="0.3">
      <c r="A90" t="s">
        <v>321</v>
      </c>
      <c r="B90" t="s">
        <v>322</v>
      </c>
      <c r="C90">
        <v>0.26919999999999999</v>
      </c>
      <c r="D90">
        <v>1.03</v>
      </c>
      <c r="E90">
        <v>7060000</v>
      </c>
      <c r="F90">
        <v>2390000</v>
      </c>
      <c r="G90">
        <v>26230000</v>
      </c>
      <c r="H90">
        <f>IFERROR(Sheet1[[#This Row],[Volume (24h)]]/Sheet1[[#This Row],[Circulating Supply]],0)</f>
        <v>2.6405130139569973E-2</v>
      </c>
      <c r="I90">
        <f>RANK(Table2[[#This Row],[Market Cap]],Table2[Market Cap],0)</f>
        <v>164</v>
      </c>
      <c r="J90" t="str">
        <f t="shared" si="1"/>
        <v>0-0.5</v>
      </c>
    </row>
    <row r="91" spans="1:10" x14ac:dyDescent="0.3">
      <c r="A91" t="s">
        <v>238</v>
      </c>
      <c r="B91" t="s">
        <v>239</v>
      </c>
      <c r="C91">
        <v>0.64429999999999998</v>
      </c>
      <c r="D91">
        <v>1.23</v>
      </c>
      <c r="E91">
        <v>12150000</v>
      </c>
      <c r="F91">
        <v>249700</v>
      </c>
      <c r="G91">
        <v>18860000</v>
      </c>
      <c r="H91">
        <f>IFERROR(Sheet1[[#This Row],[Volume (24h)]]/Sheet1[[#This Row],[Circulating Supply]],0)</f>
        <v>6.6E-4</v>
      </c>
      <c r="I91">
        <f>RANK(Table2[[#This Row],[Market Cap]],Table2[Market Cap],0)</f>
        <v>121</v>
      </c>
      <c r="J91" t="str">
        <f t="shared" si="1"/>
        <v>0.5-1</v>
      </c>
    </row>
    <row r="92" spans="1:10" x14ac:dyDescent="0.3">
      <c r="A92" t="s">
        <v>437</v>
      </c>
      <c r="B92" t="s">
        <v>438</v>
      </c>
      <c r="C92">
        <v>9.937E-2</v>
      </c>
      <c r="D92">
        <v>1.25</v>
      </c>
      <c r="E92">
        <v>2040000</v>
      </c>
      <c r="F92">
        <v>242970</v>
      </c>
      <c r="G92">
        <v>20580000</v>
      </c>
      <c r="H92">
        <f>IFERROR(Sheet1[[#This Row],[Volume (24h)]]/Sheet1[[#This Row],[Circulating Supply]],0)</f>
        <v>0.22070844686648503</v>
      </c>
      <c r="I92">
        <f>RANK(Table2[[#This Row],[Market Cap]],Table2[Market Cap],0)</f>
        <v>226</v>
      </c>
      <c r="J92" t="str">
        <f t="shared" si="1"/>
        <v>0-0.5</v>
      </c>
    </row>
    <row r="93" spans="1:10" x14ac:dyDescent="0.3">
      <c r="A93" t="s">
        <v>416</v>
      </c>
      <c r="B93" t="s">
        <v>417</v>
      </c>
      <c r="C93">
        <v>2.222E-2</v>
      </c>
      <c r="D93">
        <v>0.09</v>
      </c>
      <c r="E93">
        <v>2600000</v>
      </c>
      <c r="F93">
        <v>187120</v>
      </c>
      <c r="G93">
        <v>117180000</v>
      </c>
      <c r="H93">
        <f>IFERROR(Sheet1[[#This Row],[Volume (24h)]]/Sheet1[[#This Row],[Circulating Supply]],0)</f>
        <v>1.2128438103852321E-2</v>
      </c>
      <c r="I93">
        <f>RANK(Table2[[#This Row],[Market Cap]],Table2[Market Cap],0)</f>
        <v>215</v>
      </c>
      <c r="J93" t="str">
        <f t="shared" si="1"/>
        <v>0-0.5</v>
      </c>
    </row>
    <row r="94" spans="1:10" x14ac:dyDescent="0.3">
      <c r="A94" t="s">
        <v>213</v>
      </c>
      <c r="B94" t="s">
        <v>214</v>
      </c>
      <c r="C94">
        <v>9.4950000000000004E-4</v>
      </c>
      <c r="D94">
        <v>0.01</v>
      </c>
      <c r="E94">
        <v>15860000</v>
      </c>
      <c r="F94">
        <v>101.67</v>
      </c>
      <c r="G94">
        <v>16700000000</v>
      </c>
      <c r="H94">
        <f>IFERROR(Sheet1[[#This Row],[Volume (24h)]]/Sheet1[[#This Row],[Circulating Supply]],0)</f>
        <v>2.7395498392282958E-3</v>
      </c>
      <c r="I94">
        <f>RANK(Table2[[#This Row],[Market Cap]],Table2[Market Cap],0)</f>
        <v>108</v>
      </c>
      <c r="J94" t="str">
        <f t="shared" si="1"/>
        <v>0-0.5</v>
      </c>
    </row>
    <row r="95" spans="1:10" x14ac:dyDescent="0.3">
      <c r="A95" t="s">
        <v>118</v>
      </c>
      <c r="B95" t="s">
        <v>119</v>
      </c>
      <c r="C95">
        <v>4.9430000000000003E-3</v>
      </c>
      <c r="D95">
        <v>0.12</v>
      </c>
      <c r="E95">
        <v>53410000</v>
      </c>
      <c r="F95">
        <v>1800000</v>
      </c>
      <c r="G95">
        <v>10800000000</v>
      </c>
      <c r="H95">
        <f>IFERROR(Sheet1[[#This Row],[Volume (24h)]]/Sheet1[[#This Row],[Circulating Supply]],0)</f>
        <v>45.400238948626047</v>
      </c>
      <c r="I95">
        <f>RANK(Table2[[#This Row],[Market Cap]],Table2[Market Cap],0)</f>
        <v>59</v>
      </c>
      <c r="J95" t="str">
        <f t="shared" si="1"/>
        <v>0-0.5</v>
      </c>
    </row>
    <row r="96" spans="1:10" x14ac:dyDescent="0.3">
      <c r="A96" t="s">
        <v>400</v>
      </c>
      <c r="B96" t="s">
        <v>400</v>
      </c>
      <c r="C96">
        <v>1.6039999999999999E-2</v>
      </c>
      <c r="D96">
        <v>0.09</v>
      </c>
      <c r="E96">
        <v>3280000</v>
      </c>
      <c r="F96">
        <v>455660</v>
      </c>
      <c r="G96">
        <v>204830000</v>
      </c>
      <c r="H96">
        <f>IFERROR(Sheet1[[#This Row],[Volume (24h)]]/Sheet1[[#This Row],[Circulating Supply]],0)</f>
        <v>5.4559333795975017E-2</v>
      </c>
      <c r="I96">
        <f>RANK(Table2[[#This Row],[Market Cap]],Table2[Market Cap],0)</f>
        <v>204</v>
      </c>
      <c r="J96" t="str">
        <f t="shared" si="1"/>
        <v>0-0.5</v>
      </c>
    </row>
    <row r="97" spans="1:10" x14ac:dyDescent="0.3">
      <c r="A97" t="s">
        <v>489</v>
      </c>
      <c r="B97" t="s">
        <v>490</v>
      </c>
      <c r="C97">
        <v>6.1070000000000004E-4</v>
      </c>
      <c r="D97">
        <v>9.1999999999999993</v>
      </c>
      <c r="E97">
        <v>1530000</v>
      </c>
      <c r="F97">
        <v>30220</v>
      </c>
      <c r="G97">
        <v>2510000000</v>
      </c>
      <c r="H97">
        <f>IFERROR(Sheet1[[#This Row],[Volume (24h)]]/Sheet1[[#This Row],[Circulating Supply]],0)</f>
        <v>1.0079872881355933E-4</v>
      </c>
      <c r="I97">
        <f>RANK(Table2[[#This Row],[Market Cap]],Table2[Market Cap],0)</f>
        <v>255</v>
      </c>
      <c r="J97" t="str">
        <f t="shared" si="1"/>
        <v>0-0.5</v>
      </c>
    </row>
    <row r="98" spans="1:10" x14ac:dyDescent="0.3">
      <c r="A98" t="s">
        <v>372</v>
      </c>
      <c r="B98" t="s">
        <v>373</v>
      </c>
      <c r="C98">
        <v>5.1229999999999999E-3</v>
      </c>
      <c r="D98">
        <v>0</v>
      </c>
      <c r="E98">
        <v>4220000</v>
      </c>
      <c r="F98">
        <v>0</v>
      </c>
      <c r="G98">
        <v>824770000</v>
      </c>
      <c r="H98">
        <f>IFERROR(Sheet1[[#This Row],[Volume (24h)]]/Sheet1[[#This Row],[Circulating Supply]],0)</f>
        <v>0.21267190569744598</v>
      </c>
      <c r="I98">
        <f>RANK(Table2[[#This Row],[Market Cap]],Table2[Market Cap],0)</f>
        <v>192</v>
      </c>
      <c r="J98" t="str">
        <f t="shared" si="1"/>
        <v>0-0.5</v>
      </c>
    </row>
    <row r="99" spans="1:10" x14ac:dyDescent="0.3">
      <c r="A99" t="s">
        <v>234</v>
      </c>
      <c r="B99" t="s">
        <v>235</v>
      </c>
      <c r="C99">
        <v>7.9699999999999997E-4</v>
      </c>
      <c r="D99">
        <v>0.24</v>
      </c>
      <c r="E99">
        <v>15300000</v>
      </c>
      <c r="F99">
        <v>301660</v>
      </c>
      <c r="G99">
        <v>19200000000</v>
      </c>
      <c r="H99">
        <f>IFERROR(Sheet1[[#This Row],[Volume (24h)]]/Sheet1[[#This Row],[Circulating Supply]],0)</f>
        <v>121.21212121212122</v>
      </c>
      <c r="I99">
        <f>RANK(Table2[[#This Row],[Market Cap]],Table2[Market Cap],0)</f>
        <v>119</v>
      </c>
      <c r="J99" t="str">
        <f t="shared" si="1"/>
        <v>0-0.5</v>
      </c>
    </row>
    <row r="100" spans="1:10" x14ac:dyDescent="0.3">
      <c r="A100" t="s">
        <v>546</v>
      </c>
      <c r="B100" t="s">
        <v>547</v>
      </c>
      <c r="C100">
        <v>6.9650000000000004E-2</v>
      </c>
      <c r="D100">
        <v>0.01</v>
      </c>
      <c r="E100">
        <v>1040000</v>
      </c>
      <c r="F100">
        <v>95060</v>
      </c>
      <c r="G100">
        <v>14950000</v>
      </c>
      <c r="H100">
        <f>IFERROR(Sheet1[[#This Row],[Volume (24h)]]/Sheet1[[#This Row],[Circulating Supply]],0)</f>
        <v>4.2043342535953371E-3</v>
      </c>
      <c r="I100">
        <f>RANK(Table2[[#This Row],[Market Cap]],Table2[Market Cap],0)</f>
        <v>278</v>
      </c>
      <c r="J100" t="str">
        <f t="shared" si="1"/>
        <v>0-0.5</v>
      </c>
    </row>
    <row r="101" spans="1:10" x14ac:dyDescent="0.3">
      <c r="A101" t="s">
        <v>510</v>
      </c>
      <c r="B101" t="s">
        <v>511</v>
      </c>
      <c r="C101">
        <v>2.5330000000000001E-3</v>
      </c>
      <c r="D101">
        <v>0.15</v>
      </c>
      <c r="E101">
        <v>1270000</v>
      </c>
      <c r="F101">
        <v>87390</v>
      </c>
      <c r="G101">
        <v>503180000</v>
      </c>
      <c r="H101">
        <f>IFERROR(Sheet1[[#This Row],[Volume (24h)]]/Sheet1[[#This Row],[Circulating Supply]],0)</f>
        <v>5.2558459422283352</v>
      </c>
      <c r="I101">
        <f>RANK(Table2[[#This Row],[Market Cap]],Table2[Market Cap],0)</f>
        <v>262</v>
      </c>
      <c r="J101" t="str">
        <f t="shared" si="1"/>
        <v>0-0.5</v>
      </c>
    </row>
    <row r="102" spans="1:10" x14ac:dyDescent="0.3">
      <c r="A102" t="s">
        <v>134</v>
      </c>
      <c r="B102" t="s">
        <v>135</v>
      </c>
      <c r="C102">
        <v>0.99950000000000006</v>
      </c>
      <c r="D102">
        <v>0</v>
      </c>
      <c r="E102">
        <v>38620000</v>
      </c>
      <c r="F102">
        <v>692530</v>
      </c>
      <c r="G102">
        <v>38640000</v>
      </c>
      <c r="H102">
        <f>IFERROR(Sheet1[[#This Row],[Volume (24h)]]/Sheet1[[#This Row],[Circulating Supply]],0)</f>
        <v>1.1599999999999999E-6</v>
      </c>
      <c r="I102">
        <f>RANK(Table2[[#This Row],[Market Cap]],Table2[Market Cap],0)</f>
        <v>66</v>
      </c>
      <c r="J102" t="str">
        <f t="shared" si="1"/>
        <v>0.5-1</v>
      </c>
    </row>
    <row r="103" spans="1:10" x14ac:dyDescent="0.3">
      <c r="A103" t="s">
        <v>401</v>
      </c>
      <c r="B103" t="s">
        <v>402</v>
      </c>
      <c r="C103">
        <v>5.4860000000000004E-3</v>
      </c>
      <c r="D103">
        <v>0.34</v>
      </c>
      <c r="E103">
        <v>3280000</v>
      </c>
      <c r="F103">
        <v>148500</v>
      </c>
      <c r="G103">
        <v>598860000</v>
      </c>
      <c r="H103">
        <f>IFERROR(Sheet1[[#This Row],[Volume (24h)]]/Sheet1[[#This Row],[Circulating Supply]],0)</f>
        <v>1.6480000000000002E-2</v>
      </c>
      <c r="I103">
        <f>RANK(Table2[[#This Row],[Market Cap]],Table2[Market Cap],0)</f>
        <v>204</v>
      </c>
      <c r="J103" t="str">
        <f t="shared" si="1"/>
        <v>0-0.5</v>
      </c>
    </row>
    <row r="104" spans="1:10" x14ac:dyDescent="0.3">
      <c r="A104" t="s">
        <v>79</v>
      </c>
      <c r="B104" t="s">
        <v>79</v>
      </c>
      <c r="C104">
        <v>0.99829999999999997</v>
      </c>
      <c r="D104">
        <v>0.01</v>
      </c>
      <c r="E104">
        <v>647910000</v>
      </c>
      <c r="F104">
        <v>1350000</v>
      </c>
      <c r="G104">
        <v>649000000</v>
      </c>
      <c r="H104">
        <f>IFERROR(Sheet1[[#This Row],[Volume (24h)]]/Sheet1[[#This Row],[Circulating Supply]],0)</f>
        <v>2.7881290322580646E-3</v>
      </c>
      <c r="I104">
        <f>RANK(Table2[[#This Row],[Market Cap]],Table2[Market Cap],0)</f>
        <v>24</v>
      </c>
      <c r="J104" t="str">
        <f t="shared" si="1"/>
        <v>0.5-1</v>
      </c>
    </row>
    <row r="105" spans="1:10" x14ac:dyDescent="0.3">
      <c r="A105" t="s">
        <v>183</v>
      </c>
      <c r="B105" t="s">
        <v>183</v>
      </c>
      <c r="C105">
        <v>6.6230000000000004E-3</v>
      </c>
      <c r="D105">
        <v>0.91</v>
      </c>
      <c r="E105">
        <v>20600000</v>
      </c>
      <c r="F105">
        <v>8520000</v>
      </c>
      <c r="G105">
        <v>3110000000</v>
      </c>
      <c r="H105">
        <f>IFERROR(Sheet1[[#This Row],[Volume (24h)]]/Sheet1[[#This Row],[Circulating Supply]],0)</f>
        <v>3.1705202312138726E-6</v>
      </c>
      <c r="I105">
        <f>RANK(Table2[[#This Row],[Market Cap]],Table2[Market Cap],0)</f>
        <v>92</v>
      </c>
      <c r="J105" t="str">
        <f t="shared" si="1"/>
        <v>0-0.5</v>
      </c>
    </row>
    <row r="106" spans="1:10" x14ac:dyDescent="0.3">
      <c r="A106" t="s">
        <v>424</v>
      </c>
      <c r="B106" t="s">
        <v>424</v>
      </c>
      <c r="C106">
        <v>3.2399999999999998E-3</v>
      </c>
      <c r="D106">
        <v>0.32</v>
      </c>
      <c r="E106">
        <v>2560000</v>
      </c>
      <c r="F106">
        <v>445.59</v>
      </c>
      <c r="G106">
        <v>792550000</v>
      </c>
      <c r="H106">
        <f>IFERROR(Sheet1[[#This Row],[Volume (24h)]]/Sheet1[[#This Row],[Circulating Supply]],0)</f>
        <v>9.0195338698859822E-4</v>
      </c>
      <c r="I106">
        <f>RANK(Table2[[#This Row],[Market Cap]],Table2[Market Cap],0)</f>
        <v>220</v>
      </c>
      <c r="J106" t="str">
        <f t="shared" si="1"/>
        <v>0-0.5</v>
      </c>
    </row>
    <row r="107" spans="1:10" x14ac:dyDescent="0.3">
      <c r="A107" t="s">
        <v>567</v>
      </c>
      <c r="B107" t="s">
        <v>568</v>
      </c>
      <c r="C107">
        <v>20.239999999999998</v>
      </c>
      <c r="D107">
        <v>0.28000000000000003</v>
      </c>
      <c r="E107">
        <v>865490</v>
      </c>
      <c r="F107">
        <v>2150000</v>
      </c>
      <c r="G107">
        <v>42740</v>
      </c>
      <c r="H107">
        <f>IFERROR(Sheet1[[#This Row],[Volume (24h)]]/Sheet1[[#This Row],[Circulating Supply]],0)</f>
        <v>6.4321608040201008E-4</v>
      </c>
      <c r="I107">
        <f>RANK(Table2[[#This Row],[Market Cap]],Table2[Market Cap],0)</f>
        <v>296</v>
      </c>
      <c r="J107" t="str">
        <f t="shared" si="1"/>
        <v>10-100</v>
      </c>
    </row>
    <row r="108" spans="1:10" x14ac:dyDescent="0.3">
      <c r="A108" t="s">
        <v>323</v>
      </c>
      <c r="B108" t="s">
        <v>324</v>
      </c>
      <c r="C108">
        <v>9.6360000000000005E-3</v>
      </c>
      <c r="D108">
        <v>0.13</v>
      </c>
      <c r="E108">
        <v>5710000</v>
      </c>
      <c r="F108">
        <v>671970</v>
      </c>
      <c r="G108">
        <v>593560000</v>
      </c>
      <c r="H108">
        <f>IFERROR(Sheet1[[#This Row],[Volume (24h)]]/Sheet1[[#This Row],[Circulating Supply]],0)</f>
        <v>2.3857142857142857E-3</v>
      </c>
      <c r="I108">
        <f>RANK(Table2[[#This Row],[Market Cap]],Table2[Market Cap],0)</f>
        <v>166</v>
      </c>
      <c r="J108" t="str">
        <f t="shared" si="1"/>
        <v>0-0.5</v>
      </c>
    </row>
    <row r="109" spans="1:10" x14ac:dyDescent="0.3">
      <c r="A109" t="s">
        <v>526</v>
      </c>
      <c r="B109" t="s">
        <v>527</v>
      </c>
      <c r="C109">
        <v>8.1081E-2</v>
      </c>
      <c r="D109">
        <v>3.39</v>
      </c>
      <c r="E109">
        <v>1050000</v>
      </c>
      <c r="F109">
        <v>36950</v>
      </c>
      <c r="G109">
        <v>975810000000000</v>
      </c>
      <c r="H109">
        <f>IFERROR(Sheet1[[#This Row],[Volume (24h)]]/Sheet1[[#This Row],[Circulating Supply]],0)</f>
        <v>8.7628865979381444E-4</v>
      </c>
      <c r="I109">
        <f>RANK(Table2[[#This Row],[Market Cap]],Table2[Market Cap],0)</f>
        <v>273</v>
      </c>
      <c r="J109" t="str">
        <f t="shared" si="1"/>
        <v>0-0.5</v>
      </c>
    </row>
    <row r="110" spans="1:10" x14ac:dyDescent="0.3">
      <c r="A110" t="s">
        <v>311</v>
      </c>
      <c r="B110" t="s">
        <v>312</v>
      </c>
      <c r="C110">
        <v>1.4959999999999999E-2</v>
      </c>
      <c r="D110">
        <v>0.24</v>
      </c>
      <c r="E110">
        <v>7230000</v>
      </c>
      <c r="F110">
        <v>1820000</v>
      </c>
      <c r="G110">
        <v>483330000</v>
      </c>
      <c r="H110">
        <f>IFERROR(Sheet1[[#This Row],[Volume (24h)]]/Sheet1[[#This Row],[Circulating Supply]],0)</f>
        <v>6.0880239520958083E-9</v>
      </c>
      <c r="I110">
        <f>RANK(Table2[[#This Row],[Market Cap]],Table2[Market Cap],0)</f>
        <v>158</v>
      </c>
      <c r="J110" t="str">
        <f t="shared" si="1"/>
        <v>0-0.5</v>
      </c>
    </row>
    <row r="111" spans="1:10" x14ac:dyDescent="0.3">
      <c r="A111" t="s">
        <v>528</v>
      </c>
      <c r="B111" t="s">
        <v>529</v>
      </c>
      <c r="C111">
        <v>1.2469999999999999E-5</v>
      </c>
      <c r="D111">
        <v>0.7</v>
      </c>
      <c r="E111">
        <v>1050000</v>
      </c>
      <c r="F111">
        <v>25090</v>
      </c>
      <c r="G111">
        <v>84560000000</v>
      </c>
      <c r="H111">
        <f>IFERROR(Sheet1[[#This Row],[Volume (24h)]]/Sheet1[[#This Row],[Circulating Supply]],0)</f>
        <v>4.2179310344827588E-7</v>
      </c>
      <c r="I111">
        <f>RANK(Table2[[#This Row],[Market Cap]],Table2[Market Cap],0)</f>
        <v>273</v>
      </c>
      <c r="J111" t="str">
        <f t="shared" si="1"/>
        <v>0-0.5</v>
      </c>
    </row>
    <row r="112" spans="1:10" x14ac:dyDescent="0.3">
      <c r="A112" t="s">
        <v>264</v>
      </c>
      <c r="B112" t="s">
        <v>265</v>
      </c>
      <c r="C112">
        <v>1.357E-2</v>
      </c>
      <c r="D112">
        <v>0.84</v>
      </c>
      <c r="E112">
        <v>9550000</v>
      </c>
      <c r="F112">
        <v>76.069999999999993</v>
      </c>
      <c r="G112">
        <v>703720000</v>
      </c>
      <c r="H112">
        <f>IFERROR(Sheet1[[#This Row],[Volume (24h)]]/Sheet1[[#This Row],[Circulating Supply]],0)</f>
        <v>4.5461387927141355E-5</v>
      </c>
      <c r="I112">
        <f>RANK(Table2[[#This Row],[Market Cap]],Table2[Market Cap],0)</f>
        <v>135</v>
      </c>
      <c r="J112" t="str">
        <f t="shared" si="1"/>
        <v>0-0.5</v>
      </c>
    </row>
    <row r="113" spans="1:10" x14ac:dyDescent="0.3">
      <c r="A113" t="s">
        <v>484</v>
      </c>
      <c r="B113" t="s">
        <v>484</v>
      </c>
      <c r="C113">
        <v>2.544E-5</v>
      </c>
      <c r="D113">
        <v>0</v>
      </c>
      <c r="E113">
        <v>1570000</v>
      </c>
      <c r="F113">
        <v>0</v>
      </c>
      <c r="G113">
        <v>62070000000</v>
      </c>
      <c r="H113">
        <f>IFERROR(Sheet1[[#This Row],[Volume (24h)]]/Sheet1[[#This Row],[Circulating Supply]],0)</f>
        <v>1.0016608391608393E-3</v>
      </c>
      <c r="I113">
        <f>RANK(Table2[[#This Row],[Market Cap]],Table2[Market Cap],0)</f>
        <v>252</v>
      </c>
      <c r="J113" t="str">
        <f t="shared" si="1"/>
        <v>0-0.5</v>
      </c>
    </row>
    <row r="114" spans="1:10" x14ac:dyDescent="0.3">
      <c r="A114" t="s">
        <v>157</v>
      </c>
      <c r="B114" t="s">
        <v>158</v>
      </c>
      <c r="C114">
        <v>27.67</v>
      </c>
      <c r="D114">
        <v>0.2</v>
      </c>
      <c r="E114">
        <v>28540000</v>
      </c>
      <c r="F114">
        <v>1040000</v>
      </c>
      <c r="G114">
        <v>1030000</v>
      </c>
      <c r="H114">
        <f>IFERROR(Sheet1[[#This Row],[Volume (24h)]]/Sheet1[[#This Row],[Circulating Supply]],0)</f>
        <v>1.4413999539488832E-2</v>
      </c>
      <c r="I114">
        <f>RANK(Table2[[#This Row],[Market Cap]],Table2[Market Cap],0)</f>
        <v>78</v>
      </c>
      <c r="J114" t="str">
        <f t="shared" si="1"/>
        <v>10-100</v>
      </c>
    </row>
    <row r="115" spans="1:10" x14ac:dyDescent="0.3">
      <c r="A115" t="s">
        <v>564</v>
      </c>
      <c r="B115" t="s">
        <v>564</v>
      </c>
      <c r="C115">
        <v>9.7230000000000003E-5</v>
      </c>
      <c r="D115">
        <v>0</v>
      </c>
      <c r="E115">
        <v>870690</v>
      </c>
      <c r="F115">
        <v>0</v>
      </c>
      <c r="G115">
        <v>8950000000</v>
      </c>
      <c r="H115">
        <f>IFERROR(Sheet1[[#This Row],[Volume (24h)]]/Sheet1[[#This Row],[Circulating Supply]],0)</f>
        <v>20.873320537428022</v>
      </c>
      <c r="I115">
        <f>RANK(Table2[[#This Row],[Market Cap]],Table2[Market Cap],0)</f>
        <v>294</v>
      </c>
      <c r="J115" t="str">
        <f t="shared" si="1"/>
        <v>0-0.5</v>
      </c>
    </row>
    <row r="116" spans="1:10" x14ac:dyDescent="0.3">
      <c r="A116" t="s">
        <v>519</v>
      </c>
      <c r="B116" t="s">
        <v>520</v>
      </c>
      <c r="C116">
        <v>5.2713999999999997E-2</v>
      </c>
      <c r="D116">
        <v>0.12</v>
      </c>
      <c r="E116">
        <v>1060000</v>
      </c>
      <c r="F116">
        <v>150.33000000000001</v>
      </c>
      <c r="G116">
        <v>393400000000</v>
      </c>
      <c r="H116">
        <f>IFERROR(Sheet1[[#This Row],[Volume (24h)]]/Sheet1[[#This Row],[Circulating Supply]],0)</f>
        <v>5.0761421319796957E-4</v>
      </c>
      <c r="I116">
        <f>RANK(Table2[[#This Row],[Market Cap]],Table2[Market Cap],0)</f>
        <v>271</v>
      </c>
      <c r="J116" t="str">
        <f t="shared" si="1"/>
        <v>0-0.5</v>
      </c>
    </row>
    <row r="117" spans="1:10" x14ac:dyDescent="0.3">
      <c r="A117" t="s">
        <v>540</v>
      </c>
      <c r="B117" t="s">
        <v>541</v>
      </c>
      <c r="C117">
        <v>5.2489000000000001E-2</v>
      </c>
      <c r="D117">
        <v>0.46</v>
      </c>
      <c r="E117">
        <v>1040000</v>
      </c>
      <c r="F117">
        <v>41040</v>
      </c>
      <c r="G117">
        <v>420690000000</v>
      </c>
      <c r="H117">
        <f>IFERROR(Sheet1[[#This Row],[Volume (24h)]]/Sheet1[[#This Row],[Circulating Supply]],0)</f>
        <v>1.3478260869565217E-2</v>
      </c>
      <c r="I117">
        <f>RANK(Table2[[#This Row],[Market Cap]],Table2[Market Cap],0)</f>
        <v>278</v>
      </c>
      <c r="J117" t="str">
        <f t="shared" si="1"/>
        <v>0-0.5</v>
      </c>
    </row>
    <row r="118" spans="1:10" x14ac:dyDescent="0.3">
      <c r="A118" t="s">
        <v>371</v>
      </c>
      <c r="B118" t="s">
        <v>371</v>
      </c>
      <c r="C118">
        <v>1.2409999999999999E-2</v>
      </c>
      <c r="D118">
        <v>0.16</v>
      </c>
      <c r="E118">
        <v>4230000</v>
      </c>
      <c r="F118">
        <v>78790</v>
      </c>
      <c r="G118">
        <v>341170000</v>
      </c>
      <c r="H118">
        <f>IFERROR(Sheet1[[#This Row],[Volume (24h)]]/Sheet1[[#This Row],[Circulating Supply]],0)</f>
        <v>3.6645962732919252E-4</v>
      </c>
      <c r="I118">
        <f>RANK(Table2[[#This Row],[Market Cap]],Table2[Market Cap],0)</f>
        <v>191</v>
      </c>
      <c r="J118" t="str">
        <f t="shared" si="1"/>
        <v>0-0.5</v>
      </c>
    </row>
    <row r="119" spans="1:10" x14ac:dyDescent="0.3">
      <c r="A119" t="s">
        <v>69</v>
      </c>
      <c r="B119" t="s">
        <v>69</v>
      </c>
      <c r="C119">
        <v>5.1778999999999999E-2</v>
      </c>
      <c r="D119">
        <v>0.03</v>
      </c>
      <c r="E119">
        <v>1590000000</v>
      </c>
      <c r="F119">
        <v>36270000</v>
      </c>
      <c r="G119">
        <v>898230000000000</v>
      </c>
      <c r="H119">
        <f>IFERROR(Sheet1[[#This Row],[Volume (24h)]]/Sheet1[[#This Row],[Circulating Supply]],0)</f>
        <v>2.1837893649974188E-3</v>
      </c>
      <c r="I119">
        <f>RANK(Table2[[#This Row],[Market Cap]],Table2[Market Cap],0)</f>
        <v>18</v>
      </c>
      <c r="J119" t="str">
        <f t="shared" si="1"/>
        <v>0-0.5</v>
      </c>
    </row>
    <row r="120" spans="1:10" x14ac:dyDescent="0.3">
      <c r="A120" t="s">
        <v>460</v>
      </c>
      <c r="B120" t="s">
        <v>461</v>
      </c>
      <c r="C120">
        <v>2.541E-4</v>
      </c>
      <c r="D120">
        <v>1.92</v>
      </c>
      <c r="E120">
        <v>1980000</v>
      </c>
      <c r="F120">
        <v>100520</v>
      </c>
      <c r="G120">
        <v>7800000000</v>
      </c>
      <c r="H120">
        <f>IFERROR(Sheet1[[#This Row],[Volume (24h)]]/Sheet1[[#This Row],[Circulating Supply]],0)</f>
        <v>1.4020139426800929E-2</v>
      </c>
      <c r="I120">
        <f>RANK(Table2[[#This Row],[Market Cap]],Table2[Market Cap],0)</f>
        <v>239</v>
      </c>
      <c r="J120" t="str">
        <f t="shared" si="1"/>
        <v>0-0.5</v>
      </c>
    </row>
    <row r="121" spans="1:10" x14ac:dyDescent="0.3">
      <c r="A121" t="s">
        <v>226</v>
      </c>
      <c r="B121" t="s">
        <v>227</v>
      </c>
      <c r="C121">
        <v>6.7729999999999999E-2</v>
      </c>
      <c r="D121">
        <v>0.88</v>
      </c>
      <c r="E121">
        <v>15570000</v>
      </c>
      <c r="F121">
        <v>3100000</v>
      </c>
      <c r="G121">
        <v>230000000</v>
      </c>
      <c r="H121">
        <f>IFERROR(Sheet1[[#This Row],[Volume (24h)]]/Sheet1[[#This Row],[Circulating Supply]],0)</f>
        <v>1.5711458333333332E-5</v>
      </c>
      <c r="I121">
        <f>RANK(Table2[[#This Row],[Market Cap]],Table2[Market Cap],0)</f>
        <v>115</v>
      </c>
      <c r="J121" t="str">
        <f t="shared" si="1"/>
        <v>0-0.5</v>
      </c>
    </row>
    <row r="122" spans="1:10" x14ac:dyDescent="0.3">
      <c r="A122" t="s">
        <v>530</v>
      </c>
      <c r="B122" t="s">
        <v>531</v>
      </c>
      <c r="C122">
        <v>1.116E-3</v>
      </c>
      <c r="D122">
        <v>0.2</v>
      </c>
      <c r="E122">
        <v>1050000</v>
      </c>
      <c r="F122">
        <v>232440</v>
      </c>
      <c r="G122">
        <v>940890000</v>
      </c>
      <c r="H122">
        <f>IFERROR(Sheet1[[#This Row],[Volume (24h)]]/Sheet1[[#This Row],[Circulating Supply]],0)</f>
        <v>6.5417040358744399E-4</v>
      </c>
      <c r="I122">
        <f>RANK(Table2[[#This Row],[Market Cap]],Table2[Market Cap],0)</f>
        <v>273</v>
      </c>
      <c r="J122" t="str">
        <f t="shared" si="1"/>
        <v>0-0.5</v>
      </c>
    </row>
    <row r="123" spans="1:10" x14ac:dyDescent="0.3">
      <c r="A123" t="s">
        <v>327</v>
      </c>
      <c r="B123" t="s">
        <v>328</v>
      </c>
      <c r="C123">
        <v>0.1628</v>
      </c>
      <c r="D123">
        <v>0.02</v>
      </c>
      <c r="E123">
        <v>5710000</v>
      </c>
      <c r="F123">
        <v>221390</v>
      </c>
      <c r="G123">
        <v>35080000</v>
      </c>
      <c r="H123">
        <f>IFERROR(Sheet1[[#This Row],[Volume (24h)]]/Sheet1[[#This Row],[Circulating Supply]],0)</f>
        <v>1.323966065747614E-2</v>
      </c>
      <c r="I123">
        <f>RANK(Table2[[#This Row],[Market Cap]],Table2[Market Cap],0)</f>
        <v>166</v>
      </c>
      <c r="J123" t="str">
        <f t="shared" si="1"/>
        <v>0-0.5</v>
      </c>
    </row>
    <row r="124" spans="1:10" x14ac:dyDescent="0.3">
      <c r="A124" t="s">
        <v>22</v>
      </c>
      <c r="B124" t="s">
        <v>23</v>
      </c>
      <c r="C124">
        <v>52.77</v>
      </c>
      <c r="D124">
        <v>0.92</v>
      </c>
      <c r="E124">
        <v>13320000000</v>
      </c>
      <c r="F124">
        <v>385760000</v>
      </c>
      <c r="G124">
        <v>252490000</v>
      </c>
      <c r="H124">
        <f>IFERROR(Sheet1[[#This Row],[Volume (24h)]]/Sheet1[[#This Row],[Circulating Supply]],0)</f>
        <v>0.33497351509773871</v>
      </c>
      <c r="I124">
        <f>RANK(Table2[[#This Row],[Market Cap]],Table2[Market Cap],0)</f>
        <v>9</v>
      </c>
      <c r="J124" t="str">
        <f t="shared" si="1"/>
        <v>10-100</v>
      </c>
    </row>
    <row r="125" spans="1:10" x14ac:dyDescent="0.3">
      <c r="A125" t="s">
        <v>179</v>
      </c>
      <c r="B125" t="s">
        <v>180</v>
      </c>
      <c r="C125">
        <v>2.83</v>
      </c>
      <c r="D125">
        <v>7.0000000000000007E-2</v>
      </c>
      <c r="E125">
        <v>20820000</v>
      </c>
      <c r="F125">
        <v>1620000</v>
      </c>
      <c r="G125">
        <v>7340000</v>
      </c>
      <c r="H125">
        <f>IFERROR(Sheet1[[#This Row],[Volume (24h)]]/Sheet1[[#This Row],[Circulating Supply]],0)</f>
        <v>2.4819916846165408E-4</v>
      </c>
      <c r="I125">
        <f>RANK(Table2[[#This Row],[Market Cap]],Table2[Market Cap],0)</f>
        <v>90</v>
      </c>
      <c r="J125" t="str">
        <f t="shared" si="1"/>
        <v>2-10</v>
      </c>
    </row>
    <row r="126" spans="1:10" x14ac:dyDescent="0.3">
      <c r="A126" t="s">
        <v>61</v>
      </c>
      <c r="B126" t="s">
        <v>62</v>
      </c>
      <c r="C126">
        <v>0.1062</v>
      </c>
      <c r="D126">
        <v>0.19</v>
      </c>
      <c r="E126">
        <v>212500000</v>
      </c>
      <c r="F126">
        <v>10400000</v>
      </c>
      <c r="G126">
        <v>2000000000</v>
      </c>
      <c r="H126">
        <f>IFERROR(Sheet1[[#This Row],[Volume (24h)]]/Sheet1[[#This Row],[Circulating Supply]],0)</f>
        <v>5.4511596411037755E-2</v>
      </c>
      <c r="I126">
        <f>RANK(Table2[[#This Row],[Market Cap]],Table2[Market Cap],0)</f>
        <v>44</v>
      </c>
      <c r="J126" t="str">
        <f t="shared" si="1"/>
        <v>0-0.5</v>
      </c>
    </row>
    <row r="127" spans="1:10" x14ac:dyDescent="0.3">
      <c r="A127" t="s">
        <v>167</v>
      </c>
      <c r="B127" t="s">
        <v>168</v>
      </c>
      <c r="C127">
        <v>0.11070000000000001</v>
      </c>
      <c r="D127">
        <v>0.69</v>
      </c>
      <c r="E127">
        <v>28010000</v>
      </c>
      <c r="F127">
        <v>3840000</v>
      </c>
      <c r="G127">
        <v>253000000</v>
      </c>
      <c r="H127">
        <f>IFERROR(Sheet1[[#This Row],[Volume (24h)]]/Sheet1[[#This Row],[Circulating Supply]],0)</f>
        <v>2.6385057471264366E-5</v>
      </c>
      <c r="I127">
        <f>RANK(Table2[[#This Row],[Market Cap]],Table2[Market Cap],0)</f>
        <v>84</v>
      </c>
      <c r="J127" t="str">
        <f t="shared" si="1"/>
        <v>0-0.5</v>
      </c>
    </row>
    <row r="128" spans="1:10" x14ac:dyDescent="0.3">
      <c r="A128" t="s">
        <v>413</v>
      </c>
      <c r="B128" t="s">
        <v>413</v>
      </c>
      <c r="C128">
        <v>1.8370000000000001E-3</v>
      </c>
      <c r="D128">
        <v>0.35</v>
      </c>
      <c r="E128">
        <v>2620000</v>
      </c>
      <c r="F128">
        <v>279310</v>
      </c>
      <c r="G128">
        <v>1420000000</v>
      </c>
      <c r="H128">
        <f>IFERROR(Sheet1[[#This Row],[Volume (24h)]]/Sheet1[[#This Row],[Circulating Supply]],0)</f>
        <v>65.894785919651881</v>
      </c>
      <c r="I128">
        <f>RANK(Table2[[#This Row],[Market Cap]],Table2[Market Cap],0)</f>
        <v>212</v>
      </c>
      <c r="J128" t="str">
        <f t="shared" si="1"/>
        <v>0-0.5</v>
      </c>
    </row>
    <row r="129" spans="1:10" x14ac:dyDescent="0.3">
      <c r="A129" t="s">
        <v>208</v>
      </c>
      <c r="B129" t="s">
        <v>209</v>
      </c>
      <c r="C129">
        <v>8.0309999999999999E-3</v>
      </c>
      <c r="D129">
        <v>2.62</v>
      </c>
      <c r="E129">
        <v>16010000</v>
      </c>
      <c r="F129">
        <v>1280000</v>
      </c>
      <c r="G129">
        <v>1990000000</v>
      </c>
      <c r="H129">
        <f>IFERROR(Sheet1[[#This Row],[Volume (24h)]]/Sheet1[[#This Row],[Circulating Supply]],0)</f>
        <v>6.4083333333333332E-4</v>
      </c>
      <c r="I129">
        <f>RANK(Table2[[#This Row],[Market Cap]],Table2[Market Cap],0)</f>
        <v>105</v>
      </c>
      <c r="J129" t="str">
        <f t="shared" si="1"/>
        <v>0-0.5</v>
      </c>
    </row>
    <row r="130" spans="1:10" x14ac:dyDescent="0.3">
      <c r="A130" t="s">
        <v>282</v>
      </c>
      <c r="B130" t="s">
        <v>283</v>
      </c>
      <c r="C130">
        <v>5.11E-2</v>
      </c>
      <c r="D130">
        <v>0.33</v>
      </c>
      <c r="E130">
        <v>9180000</v>
      </c>
      <c r="F130">
        <v>5090000</v>
      </c>
      <c r="G130">
        <v>179640000</v>
      </c>
      <c r="H130">
        <f>IFERROR(Sheet1[[#This Row],[Volume (24h)]]/Sheet1[[#This Row],[Circulating Supply]],0)</f>
        <v>6.6577896138482027</v>
      </c>
      <c r="I130">
        <f>RANK(Table2[[#This Row],[Market Cap]],Table2[Market Cap],0)</f>
        <v>144</v>
      </c>
      <c r="J130" t="str">
        <f t="shared" ref="J130:J193" si="2">IF(C130&lt;=0.5,"0-0.5",
IF(C130&lt;=1,"0.5-1",
IF(C130&lt;=2,"1-2",
IF(C130&lt;=10,"2-10",
IF(C130&lt;=100,"10-100",
IF(C130&lt;=10000,"100-10000",
"10000+"))))))</f>
        <v>0-0.5</v>
      </c>
    </row>
    <row r="131" spans="1:10" x14ac:dyDescent="0.3">
      <c r="A131" t="s">
        <v>188</v>
      </c>
      <c r="B131" t="s">
        <v>189</v>
      </c>
      <c r="C131">
        <v>2.1710000000000002E-3</v>
      </c>
      <c r="D131">
        <v>0.62</v>
      </c>
      <c r="E131">
        <v>20490000</v>
      </c>
      <c r="F131">
        <v>951540</v>
      </c>
      <c r="G131">
        <v>9440000000</v>
      </c>
      <c r="H131">
        <f>IFERROR(Sheet1[[#This Row],[Volume (24h)]]/Sheet1[[#This Row],[Circulating Supply]],0)</f>
        <v>0.48842105263157892</v>
      </c>
      <c r="I131">
        <f>RANK(Table2[[#This Row],[Market Cap]],Table2[Market Cap],0)</f>
        <v>95</v>
      </c>
      <c r="J131" t="str">
        <f t="shared" si="2"/>
        <v>0-0.5</v>
      </c>
    </row>
    <row r="132" spans="1:10" x14ac:dyDescent="0.3">
      <c r="A132" t="s">
        <v>130</v>
      </c>
      <c r="B132" t="s">
        <v>131</v>
      </c>
      <c r="C132">
        <v>1.5089999999999999E-2</v>
      </c>
      <c r="D132">
        <v>1.01</v>
      </c>
      <c r="E132">
        <v>38730000</v>
      </c>
      <c r="F132">
        <v>5440000</v>
      </c>
      <c r="G132">
        <v>2560000000</v>
      </c>
      <c r="H132">
        <f>IFERROR(Sheet1[[#This Row],[Volume (24h)]]/Sheet1[[#This Row],[Circulating Supply]],0)</f>
        <v>1.9546674229368007E-5</v>
      </c>
      <c r="I132">
        <f>RANK(Table2[[#This Row],[Market Cap]],Table2[Market Cap],0)</f>
        <v>65</v>
      </c>
      <c r="J132" t="str">
        <f t="shared" si="2"/>
        <v>0-0.5</v>
      </c>
    </row>
    <row r="133" spans="1:10" x14ac:dyDescent="0.3">
      <c r="A133" t="s">
        <v>251</v>
      </c>
      <c r="B133" t="s">
        <v>252</v>
      </c>
      <c r="C133">
        <v>75.760000000000005</v>
      </c>
      <c r="D133">
        <v>0.13</v>
      </c>
      <c r="E133">
        <v>11940000</v>
      </c>
      <c r="F133">
        <v>1050000</v>
      </c>
      <c r="G133">
        <v>157710</v>
      </c>
      <c r="H133">
        <f>IFERROR(Sheet1[[#This Row],[Volume (24h)]]/Sheet1[[#This Row],[Circulating Supply]],0)</f>
        <v>3.3593726496926424E-3</v>
      </c>
      <c r="I133">
        <f>RANK(Table2[[#This Row],[Market Cap]],Table2[Market Cap],0)</f>
        <v>128</v>
      </c>
      <c r="J133" t="str">
        <f t="shared" si="2"/>
        <v>10-100</v>
      </c>
    </row>
    <row r="134" spans="1:10" x14ac:dyDescent="0.3">
      <c r="A134" t="s">
        <v>307</v>
      </c>
      <c r="B134" t="s">
        <v>308</v>
      </c>
      <c r="C134">
        <v>64.97</v>
      </c>
      <c r="D134">
        <v>0.05</v>
      </c>
      <c r="E134">
        <v>7240000</v>
      </c>
      <c r="F134">
        <v>504730</v>
      </c>
      <c r="G134">
        <v>111490</v>
      </c>
      <c r="H134">
        <f>IFERROR(Sheet1[[#This Row],[Volume (24h)]]/Sheet1[[#This Row],[Circulating Supply]],0)</f>
        <v>0</v>
      </c>
      <c r="I134">
        <f>RANK(Table2[[#This Row],[Market Cap]],Table2[Market Cap],0)</f>
        <v>157</v>
      </c>
      <c r="J134" t="str">
        <f t="shared" si="2"/>
        <v>10-100</v>
      </c>
    </row>
    <row r="135" spans="1:10" x14ac:dyDescent="0.3">
      <c r="A135" t="s">
        <v>59</v>
      </c>
      <c r="B135" t="s">
        <v>60</v>
      </c>
      <c r="C135">
        <v>4.3010000000000001E-3</v>
      </c>
      <c r="D135">
        <v>0.92</v>
      </c>
      <c r="E135">
        <v>212680000</v>
      </c>
      <c r="F135">
        <v>7320000</v>
      </c>
      <c r="G135">
        <v>49440000000</v>
      </c>
      <c r="H135">
        <f>IFERROR(Sheet1[[#This Row],[Volume (24h)]]/Sheet1[[#This Row],[Circulating Supply]],0)</f>
        <v>3.1581072137657179E-2</v>
      </c>
      <c r="I135">
        <f>RANK(Table2[[#This Row],[Market Cap]],Table2[Market Cap],0)</f>
        <v>43</v>
      </c>
      <c r="J135" t="str">
        <f t="shared" si="2"/>
        <v>0-0.5</v>
      </c>
    </row>
    <row r="136" spans="1:10" x14ac:dyDescent="0.3">
      <c r="A136" t="s">
        <v>94</v>
      </c>
      <c r="B136" t="s">
        <v>95</v>
      </c>
      <c r="C136">
        <v>5.7820000000000003E-2</v>
      </c>
      <c r="D136">
        <v>0.31</v>
      </c>
      <c r="E136">
        <v>57820000</v>
      </c>
      <c r="F136">
        <v>3140000</v>
      </c>
      <c r="G136">
        <v>999990000</v>
      </c>
      <c r="H136">
        <f>IFERROR(Sheet1[[#This Row],[Volume (24h)]]/Sheet1[[#This Row],[Circulating Supply]],0)</f>
        <v>237.27919852359611</v>
      </c>
      <c r="I136">
        <f>RANK(Table2[[#This Row],[Market Cap]],Table2[Market Cap],0)</f>
        <v>47</v>
      </c>
      <c r="J136" t="str">
        <f t="shared" si="2"/>
        <v>0-0.5</v>
      </c>
    </row>
    <row r="137" spans="1:10" x14ac:dyDescent="0.3">
      <c r="A137" t="s">
        <v>458</v>
      </c>
      <c r="B137" t="s">
        <v>459</v>
      </c>
      <c r="C137">
        <v>7.1318000000000006E-2</v>
      </c>
      <c r="D137">
        <v>1.29</v>
      </c>
      <c r="E137">
        <v>1990000</v>
      </c>
      <c r="F137">
        <v>2500</v>
      </c>
      <c r="G137">
        <v>151420000000000</v>
      </c>
      <c r="H137">
        <f>IFERROR(Sheet1[[#This Row],[Volume (24h)]]/Sheet1[[#This Row],[Circulating Supply]],0)</f>
        <v>1.0809697038594895E-7</v>
      </c>
      <c r="I137">
        <f>RANK(Table2[[#This Row],[Market Cap]],Table2[Market Cap],0)</f>
        <v>237</v>
      </c>
      <c r="J137" t="str">
        <f t="shared" si="2"/>
        <v>0-0.5</v>
      </c>
    </row>
    <row r="138" spans="1:10" x14ac:dyDescent="0.3">
      <c r="A138" t="s">
        <v>288</v>
      </c>
      <c r="B138" t="s">
        <v>289</v>
      </c>
      <c r="C138">
        <v>9.1819999999999992E-3</v>
      </c>
      <c r="D138">
        <v>0.85</v>
      </c>
      <c r="E138">
        <v>9180000</v>
      </c>
      <c r="F138">
        <v>7170000</v>
      </c>
      <c r="G138">
        <v>999940000</v>
      </c>
      <c r="H138">
        <f>IFERROR(Sheet1[[#This Row],[Volume (24h)]]/Sheet1[[#This Row],[Circulating Supply]],0)</f>
        <v>1.0598290598290599E-3</v>
      </c>
      <c r="I138">
        <f>RANK(Table2[[#This Row],[Market Cap]],Table2[Market Cap],0)</f>
        <v>144</v>
      </c>
      <c r="J138" t="str">
        <f t="shared" si="2"/>
        <v>0-0.5</v>
      </c>
    </row>
    <row r="139" spans="1:10" x14ac:dyDescent="0.3">
      <c r="A139" t="s">
        <v>41</v>
      </c>
      <c r="B139" t="s">
        <v>42</v>
      </c>
      <c r="C139">
        <v>0.50609999999999999</v>
      </c>
      <c r="D139">
        <v>0.46</v>
      </c>
      <c r="E139">
        <v>255370000</v>
      </c>
      <c r="F139">
        <v>25600000</v>
      </c>
      <c r="G139">
        <v>504560000</v>
      </c>
      <c r="H139">
        <f>IFERROR(Sheet1[[#This Row],[Volume (24h)]]/Sheet1[[#This Row],[Circulating Supply]],0)</f>
        <v>0</v>
      </c>
      <c r="I139">
        <f>RANK(Table2[[#This Row],[Market Cap]],Table2[Market Cap],0)</f>
        <v>34</v>
      </c>
      <c r="J139" t="str">
        <f t="shared" si="2"/>
        <v>0.5-1</v>
      </c>
    </row>
    <row r="140" spans="1:10" x14ac:dyDescent="0.3">
      <c r="A140" t="s">
        <v>75</v>
      </c>
      <c r="B140" t="s">
        <v>76</v>
      </c>
      <c r="C140">
        <v>3.55</v>
      </c>
      <c r="D140">
        <v>0.1</v>
      </c>
      <c r="E140">
        <v>797050000</v>
      </c>
      <c r="F140">
        <v>2130000</v>
      </c>
      <c r="G140">
        <v>224060000</v>
      </c>
      <c r="H140">
        <f>IFERROR(Sheet1[[#This Row],[Volume (24h)]]/Sheet1[[#This Row],[Circulating Supply]],0)</f>
        <v>7.4719101123595501E-4</v>
      </c>
      <c r="I140">
        <f>RANK(Table2[[#This Row],[Market Cap]],Table2[Market Cap],0)</f>
        <v>22</v>
      </c>
      <c r="J140" t="str">
        <f t="shared" si="2"/>
        <v>2-10</v>
      </c>
    </row>
    <row r="141" spans="1:10" x14ac:dyDescent="0.3">
      <c r="A141" t="s">
        <v>40</v>
      </c>
      <c r="B141" t="s">
        <v>40</v>
      </c>
      <c r="C141">
        <v>1.05</v>
      </c>
      <c r="D141">
        <v>1.45</v>
      </c>
      <c r="E141">
        <v>255660000</v>
      </c>
      <c r="F141">
        <v>53800000</v>
      </c>
      <c r="G141">
        <v>241380000</v>
      </c>
      <c r="H141">
        <f>IFERROR(Sheet1[[#This Row],[Volume (24h)]]/Sheet1[[#This Row],[Circulating Supply]],0)</f>
        <v>2.0260140200170185E-3</v>
      </c>
      <c r="I141">
        <f>RANK(Table2[[#This Row],[Market Cap]],Table2[Market Cap],0)</f>
        <v>33</v>
      </c>
      <c r="J141" t="str">
        <f t="shared" si="2"/>
        <v>1-2</v>
      </c>
    </row>
    <row r="142" spans="1:10" x14ac:dyDescent="0.3">
      <c r="A142" t="s">
        <v>284</v>
      </c>
      <c r="B142" t="s">
        <v>285</v>
      </c>
      <c r="C142">
        <v>3.2039999999999999E-2</v>
      </c>
      <c r="D142">
        <v>0.08</v>
      </c>
      <c r="E142">
        <v>9170000</v>
      </c>
      <c r="F142">
        <v>4110000</v>
      </c>
      <c r="G142">
        <v>286300000</v>
      </c>
      <c r="H142">
        <f>IFERROR(Sheet1[[#This Row],[Volume (24h)]]/Sheet1[[#This Row],[Circulating Supply]],0)</f>
        <v>0</v>
      </c>
      <c r="I142">
        <f>RANK(Table2[[#This Row],[Market Cap]],Table2[Market Cap],0)</f>
        <v>146</v>
      </c>
      <c r="J142" t="str">
        <f t="shared" si="2"/>
        <v>0-0.5</v>
      </c>
    </row>
    <row r="143" spans="1:10" x14ac:dyDescent="0.3">
      <c r="A143" t="s">
        <v>465</v>
      </c>
      <c r="B143" t="s">
        <v>466</v>
      </c>
      <c r="C143">
        <v>5.1614E-2</v>
      </c>
      <c r="D143">
        <v>0.04</v>
      </c>
      <c r="E143">
        <v>1610000</v>
      </c>
      <c r="F143">
        <v>103570</v>
      </c>
      <c r="G143">
        <v>1000000000000</v>
      </c>
      <c r="H143">
        <f>IFERROR(Sheet1[[#This Row],[Volume (24h)]]/Sheet1[[#This Row],[Circulating Supply]],0)</f>
        <v>4.4708114978149975E-4</v>
      </c>
      <c r="I143">
        <f>RANK(Table2[[#This Row],[Market Cap]],Table2[Market Cap],0)</f>
        <v>242</v>
      </c>
      <c r="J143" t="str">
        <f t="shared" si="2"/>
        <v>0-0.5</v>
      </c>
    </row>
    <row r="144" spans="1:10" x14ac:dyDescent="0.3">
      <c r="A144" t="s">
        <v>104</v>
      </c>
      <c r="B144" t="s">
        <v>105</v>
      </c>
      <c r="C144">
        <v>2.95</v>
      </c>
      <c r="D144">
        <v>0.36</v>
      </c>
      <c r="E144">
        <v>54950000</v>
      </c>
      <c r="F144">
        <v>2350000</v>
      </c>
      <c r="G144">
        <v>18590000</v>
      </c>
      <c r="H144">
        <f>IFERROR(Sheet1[[#This Row],[Volume (24h)]]/Sheet1[[#This Row],[Circulating Supply]],0)</f>
        <v>125.20627062706271</v>
      </c>
      <c r="I144">
        <f>RANK(Table2[[#This Row],[Market Cap]],Table2[Market Cap],0)</f>
        <v>52</v>
      </c>
      <c r="J144" t="str">
        <f t="shared" si="2"/>
        <v>2-10</v>
      </c>
    </row>
    <row r="145" spans="1:10" x14ac:dyDescent="0.3">
      <c r="A145" t="s">
        <v>325</v>
      </c>
      <c r="B145" t="s">
        <v>326</v>
      </c>
      <c r="C145">
        <v>4.5970000000000004E-3</v>
      </c>
      <c r="D145">
        <v>0.78</v>
      </c>
      <c r="E145">
        <v>5710000</v>
      </c>
      <c r="F145">
        <v>1870000</v>
      </c>
      <c r="G145">
        <v>1240000000</v>
      </c>
      <c r="H145">
        <f>IFERROR(Sheet1[[#This Row],[Volume (24h)]]/Sheet1[[#This Row],[Circulating Supply]],0)</f>
        <v>5.8194828132783838E-3</v>
      </c>
      <c r="I145">
        <f>RANK(Table2[[#This Row],[Market Cap]],Table2[Market Cap],0)</f>
        <v>166</v>
      </c>
      <c r="J145" t="str">
        <f t="shared" si="2"/>
        <v>0-0.5</v>
      </c>
    </row>
    <row r="146" spans="1:10" x14ac:dyDescent="0.3">
      <c r="A146" t="s">
        <v>536</v>
      </c>
      <c r="B146" t="s">
        <v>537</v>
      </c>
      <c r="C146">
        <v>1.047E-4</v>
      </c>
      <c r="D146">
        <v>0</v>
      </c>
      <c r="E146">
        <v>1040000</v>
      </c>
      <c r="F146">
        <v>0</v>
      </c>
      <c r="G146">
        <v>10000000000</v>
      </c>
      <c r="H146">
        <f>IFERROR(Sheet1[[#This Row],[Volume (24h)]]/Sheet1[[#This Row],[Circulating Supply]],0)</f>
        <v>2.8334446671120016E-2</v>
      </c>
      <c r="I146">
        <f>RANK(Table2[[#This Row],[Market Cap]],Table2[Market Cap],0)</f>
        <v>278</v>
      </c>
      <c r="J146" t="str">
        <f t="shared" si="2"/>
        <v>0-0.5</v>
      </c>
    </row>
    <row r="147" spans="1:10" x14ac:dyDescent="0.3">
      <c r="A147" t="s">
        <v>34</v>
      </c>
      <c r="B147" t="s">
        <v>35</v>
      </c>
      <c r="C147">
        <v>0.7379</v>
      </c>
      <c r="D147">
        <v>0.2</v>
      </c>
      <c r="E147">
        <v>268070000</v>
      </c>
      <c r="F147">
        <v>28930000</v>
      </c>
      <c r="G147">
        <v>363280000</v>
      </c>
      <c r="H147">
        <f>IFERROR(Sheet1[[#This Row],[Volume (24h)]]/Sheet1[[#This Row],[Circulating Supply]],0)</f>
        <v>1.4355571079287461E-2</v>
      </c>
      <c r="I147">
        <f>RANK(Table2[[#This Row],[Market Cap]],Table2[Market Cap],0)</f>
        <v>29</v>
      </c>
      <c r="J147" t="str">
        <f t="shared" si="2"/>
        <v>0.5-1</v>
      </c>
    </row>
    <row r="148" spans="1:10" x14ac:dyDescent="0.3">
      <c r="A148" t="s">
        <v>455</v>
      </c>
      <c r="B148" t="s">
        <v>455</v>
      </c>
      <c r="C148">
        <v>6.6740000000000002E-3</v>
      </c>
      <c r="D148">
        <v>0</v>
      </c>
      <c r="E148">
        <v>2000000</v>
      </c>
      <c r="F148">
        <v>0</v>
      </c>
      <c r="G148">
        <v>299980000</v>
      </c>
      <c r="H148">
        <f>IFERROR(Sheet1[[#This Row],[Volume (24h)]]/Sheet1[[#This Row],[Circulating Supply]],0)</f>
        <v>2.5923344947735193E-2</v>
      </c>
      <c r="I148">
        <f>RANK(Table2[[#This Row],[Market Cap]],Table2[Market Cap],0)</f>
        <v>235</v>
      </c>
      <c r="J148" t="str">
        <f t="shared" si="2"/>
        <v>0-0.5</v>
      </c>
    </row>
    <row r="149" spans="1:10" x14ac:dyDescent="0.3">
      <c r="A149" t="s">
        <v>360</v>
      </c>
      <c r="B149" t="s">
        <v>361</v>
      </c>
      <c r="C149">
        <v>8.8850000000000005E-3</v>
      </c>
      <c r="D149">
        <v>0.02</v>
      </c>
      <c r="E149">
        <v>4320000</v>
      </c>
      <c r="F149">
        <v>162880</v>
      </c>
      <c r="G149">
        <v>486200000</v>
      </c>
      <c r="H149">
        <f>IFERROR(Sheet1[[#This Row],[Volume (24h)]]/Sheet1[[#This Row],[Circulating Supply]],0)</f>
        <v>7.1704302258135486E-3</v>
      </c>
      <c r="I149">
        <f>RANK(Table2[[#This Row],[Market Cap]],Table2[Market Cap],0)</f>
        <v>185</v>
      </c>
      <c r="J149" t="str">
        <f t="shared" si="2"/>
        <v>0-0.5</v>
      </c>
    </row>
    <row r="150" spans="1:10" x14ac:dyDescent="0.3">
      <c r="A150" t="s">
        <v>548</v>
      </c>
      <c r="B150" t="s">
        <v>549</v>
      </c>
      <c r="C150">
        <v>4.0109999999999998E-3</v>
      </c>
      <c r="D150">
        <v>0</v>
      </c>
      <c r="E150">
        <v>882520</v>
      </c>
      <c r="F150">
        <v>0</v>
      </c>
      <c r="G150">
        <v>220000000</v>
      </c>
      <c r="H150">
        <f>IFERROR(Sheet1[[#This Row],[Volume (24h)]]/Sheet1[[#This Row],[Circulating Supply]],0)</f>
        <v>2.5583333333333335E-3</v>
      </c>
      <c r="I150">
        <f>RANK(Table2[[#This Row],[Market Cap]],Table2[Market Cap],0)</f>
        <v>286</v>
      </c>
      <c r="J150" t="str">
        <f t="shared" si="2"/>
        <v>0-0.5</v>
      </c>
    </row>
    <row r="151" spans="1:10" x14ac:dyDescent="0.3">
      <c r="A151" t="s">
        <v>358</v>
      </c>
      <c r="B151" t="s">
        <v>359</v>
      </c>
      <c r="C151">
        <v>592.08000000000004</v>
      </c>
      <c r="D151">
        <v>0.36</v>
      </c>
      <c r="E151">
        <v>4350000</v>
      </c>
      <c r="F151">
        <v>1320000</v>
      </c>
      <c r="G151">
        <v>7350</v>
      </c>
      <c r="H151">
        <f>IFERROR(Sheet1[[#This Row],[Volume (24h)]]/Sheet1[[#This Row],[Circulating Supply]],0)</f>
        <v>4.6424997998879375E-4</v>
      </c>
      <c r="I151">
        <f>RANK(Table2[[#This Row],[Market Cap]],Table2[Market Cap],0)</f>
        <v>182</v>
      </c>
      <c r="J151" t="str">
        <f t="shared" si="2"/>
        <v>100-10000</v>
      </c>
    </row>
    <row r="152" spans="1:10" x14ac:dyDescent="0.3">
      <c r="A152" t="s">
        <v>356</v>
      </c>
      <c r="B152" t="s">
        <v>357</v>
      </c>
      <c r="C152">
        <v>2.075E-4</v>
      </c>
      <c r="D152">
        <v>1.53</v>
      </c>
      <c r="E152">
        <v>4350000</v>
      </c>
      <c r="F152">
        <v>4450</v>
      </c>
      <c r="G152">
        <v>21000000000</v>
      </c>
      <c r="H152">
        <f>IFERROR(Sheet1[[#This Row],[Volume (24h)]]/Sheet1[[#This Row],[Circulating Supply]],0)</f>
        <v>3.8756520743732726E-3</v>
      </c>
      <c r="I152">
        <f>RANK(Table2[[#This Row],[Market Cap]],Table2[Market Cap],0)</f>
        <v>182</v>
      </c>
      <c r="J152" t="str">
        <f t="shared" si="2"/>
        <v>0-0.5</v>
      </c>
    </row>
    <row r="153" spans="1:10" x14ac:dyDescent="0.3">
      <c r="A153" t="s">
        <v>102</v>
      </c>
      <c r="B153" t="s">
        <v>103</v>
      </c>
      <c r="C153">
        <v>0.29160000000000003</v>
      </c>
      <c r="D153">
        <v>0.27</v>
      </c>
      <c r="E153">
        <v>55420000</v>
      </c>
      <c r="F153">
        <v>1150000</v>
      </c>
      <c r="G153">
        <v>190000000</v>
      </c>
      <c r="H153">
        <f>IFERROR(Sheet1[[#This Row],[Volume (24h)]]/Sheet1[[#This Row],[Circulating Supply]],0)</f>
        <v>0.37227949599083621</v>
      </c>
      <c r="I153">
        <f>RANK(Table2[[#This Row],[Market Cap]],Table2[Market Cap],0)</f>
        <v>51</v>
      </c>
      <c r="J153" t="str">
        <f t="shared" si="2"/>
        <v>0-0.5</v>
      </c>
    </row>
    <row r="154" spans="1:10" x14ac:dyDescent="0.3">
      <c r="A154" t="s">
        <v>504</v>
      </c>
      <c r="B154" t="s">
        <v>505</v>
      </c>
      <c r="C154">
        <v>1.307E-3</v>
      </c>
      <c r="D154">
        <v>5.66</v>
      </c>
      <c r="E154">
        <v>1270000</v>
      </c>
      <c r="F154">
        <v>56030</v>
      </c>
      <c r="G154">
        <v>978220000</v>
      </c>
      <c r="H154">
        <f>IFERROR(Sheet1[[#This Row],[Volume (24h)]]/Sheet1[[#This Row],[Circulating Supply]],0)</f>
        <v>0.10669456066945607</v>
      </c>
      <c r="I154">
        <f>RANK(Table2[[#This Row],[Market Cap]],Table2[Market Cap],0)</f>
        <v>262</v>
      </c>
      <c r="J154" t="str">
        <f t="shared" si="2"/>
        <v>0-0.5</v>
      </c>
    </row>
    <row r="155" spans="1:10" x14ac:dyDescent="0.3">
      <c r="A155" t="s">
        <v>338</v>
      </c>
      <c r="B155" t="s">
        <v>339</v>
      </c>
      <c r="C155">
        <v>9.4490000000000008E-3</v>
      </c>
      <c r="D155">
        <v>0.21</v>
      </c>
      <c r="E155">
        <v>5660000</v>
      </c>
      <c r="F155">
        <v>762630</v>
      </c>
      <c r="G155">
        <v>599390000</v>
      </c>
      <c r="H155">
        <f>IFERROR(Sheet1[[#This Row],[Volume (24h)]]/Sheet1[[#This Row],[Circulating Supply]],0)</f>
        <v>23.788322096425389</v>
      </c>
      <c r="I155">
        <f>RANK(Table2[[#This Row],[Market Cap]],Table2[Market Cap],0)</f>
        <v>174</v>
      </c>
      <c r="J155" t="str">
        <f t="shared" si="2"/>
        <v>0-0.5</v>
      </c>
    </row>
    <row r="156" spans="1:10" x14ac:dyDescent="0.3">
      <c r="A156" t="s">
        <v>154</v>
      </c>
      <c r="B156" t="s">
        <v>155</v>
      </c>
      <c r="C156">
        <v>2.5579999999999999E-2</v>
      </c>
      <c r="D156">
        <v>0.27</v>
      </c>
      <c r="E156">
        <v>28590000</v>
      </c>
      <c r="F156">
        <v>3740</v>
      </c>
      <c r="G156">
        <v>1110000000</v>
      </c>
      <c r="H156">
        <f>IFERROR(Sheet1[[#This Row],[Volume (24h)]]/Sheet1[[#This Row],[Circulating Supply]],0)</f>
        <v>9.6062183764757652E-3</v>
      </c>
      <c r="I156">
        <f>RANK(Table2[[#This Row],[Market Cap]],Table2[Market Cap],0)</f>
        <v>75</v>
      </c>
      <c r="J156" t="str">
        <f t="shared" si="2"/>
        <v>0-0.5</v>
      </c>
    </row>
    <row r="157" spans="1:10" x14ac:dyDescent="0.3">
      <c r="A157" t="s">
        <v>169</v>
      </c>
      <c r="B157" t="s">
        <v>170</v>
      </c>
      <c r="C157">
        <v>5.8599999999999999E-2</v>
      </c>
      <c r="D157">
        <v>0.33</v>
      </c>
      <c r="E157">
        <v>27990000</v>
      </c>
      <c r="F157">
        <v>2220000</v>
      </c>
      <c r="G157">
        <v>477760000</v>
      </c>
      <c r="H157">
        <f>IFERROR(Sheet1[[#This Row],[Volume (24h)]]/Sheet1[[#This Row],[Circulating Supply]],0)</f>
        <v>5.3972717901500219E-4</v>
      </c>
      <c r="I157">
        <f>RANK(Table2[[#This Row],[Market Cap]],Table2[Market Cap],0)</f>
        <v>85</v>
      </c>
      <c r="J157" t="str">
        <f t="shared" si="2"/>
        <v>0-0.5</v>
      </c>
    </row>
    <row r="158" spans="1:10" x14ac:dyDescent="0.3">
      <c r="A158" t="s">
        <v>332</v>
      </c>
      <c r="B158" t="s">
        <v>333</v>
      </c>
      <c r="C158">
        <v>9.1100000000000003E-4</v>
      </c>
      <c r="D158">
        <v>0.03</v>
      </c>
      <c r="E158">
        <v>5680000</v>
      </c>
      <c r="F158">
        <v>520190.00000000012</v>
      </c>
      <c r="G158">
        <v>6230000000</v>
      </c>
      <c r="H158">
        <f>IFERROR(Sheet1[[#This Row],[Volume (24h)]]/Sheet1[[#This Row],[Circulating Supply]],0)</f>
        <v>8.1921930870083433</v>
      </c>
      <c r="I158">
        <f>RANK(Table2[[#This Row],[Market Cap]],Table2[Market Cap],0)</f>
        <v>170</v>
      </c>
      <c r="J158" t="str">
        <f t="shared" si="2"/>
        <v>0-0.5</v>
      </c>
    </row>
    <row r="159" spans="1:10" x14ac:dyDescent="0.3">
      <c r="A159" t="s">
        <v>392</v>
      </c>
      <c r="B159" t="s">
        <v>393</v>
      </c>
      <c r="C159">
        <v>1.6469999999999999E-2</v>
      </c>
      <c r="D159">
        <v>0.87</v>
      </c>
      <c r="E159">
        <v>3290000</v>
      </c>
      <c r="F159">
        <v>515039.99999999988</v>
      </c>
      <c r="G159">
        <v>200000000</v>
      </c>
      <c r="H159">
        <f>IFERROR(Sheet1[[#This Row],[Volume (24h)]]/Sheet1[[#This Row],[Circulating Supply]],0)</f>
        <v>4.52713247824917</v>
      </c>
      <c r="I159">
        <f>RANK(Table2[[#This Row],[Market Cap]],Table2[Market Cap],0)</f>
        <v>200</v>
      </c>
      <c r="J159" t="str">
        <f t="shared" si="2"/>
        <v>0-0.5</v>
      </c>
    </row>
    <row r="160" spans="1:10" x14ac:dyDescent="0.3">
      <c r="A160" t="s">
        <v>223</v>
      </c>
      <c r="B160" t="s">
        <v>224</v>
      </c>
      <c r="C160">
        <v>187.9</v>
      </c>
      <c r="D160">
        <v>1.04</v>
      </c>
      <c r="E160">
        <v>15660000</v>
      </c>
      <c r="F160">
        <v>1740000</v>
      </c>
      <c r="G160">
        <v>83360</v>
      </c>
      <c r="H160">
        <f>IFERROR(Sheet1[[#This Row],[Volume (24h)]]/Sheet1[[#This Row],[Circulating Supply]],0)</f>
        <v>2.7485690235690234E-5</v>
      </c>
      <c r="I160">
        <f>RANK(Table2[[#This Row],[Market Cap]],Table2[Market Cap],0)</f>
        <v>113</v>
      </c>
      <c r="J160" t="str">
        <f t="shared" si="2"/>
        <v>100-10000</v>
      </c>
    </row>
    <row r="161" spans="1:10" x14ac:dyDescent="0.3">
      <c r="A161" t="s">
        <v>497</v>
      </c>
      <c r="B161" t="s">
        <v>498</v>
      </c>
      <c r="C161">
        <v>575.01</v>
      </c>
      <c r="D161">
        <v>0.05</v>
      </c>
      <c r="E161">
        <v>1290000</v>
      </c>
      <c r="F161">
        <v>1320000</v>
      </c>
      <c r="G161">
        <v>2250</v>
      </c>
      <c r="H161">
        <f>IFERROR(Sheet1[[#This Row],[Volume (24h)]]/Sheet1[[#This Row],[Circulating Supply]],0)</f>
        <v>3.7655432106428318E-3</v>
      </c>
      <c r="I161">
        <f>RANK(Table2[[#This Row],[Market Cap]],Table2[Market Cap],0)</f>
        <v>257</v>
      </c>
      <c r="J161" t="str">
        <f t="shared" si="2"/>
        <v>100-10000</v>
      </c>
    </row>
    <row r="162" spans="1:10" x14ac:dyDescent="0.3">
      <c r="A162" t="s">
        <v>423</v>
      </c>
      <c r="B162" t="s">
        <v>423</v>
      </c>
      <c r="C162">
        <v>2.248E-2</v>
      </c>
      <c r="D162">
        <v>0.28000000000000003</v>
      </c>
      <c r="E162">
        <v>2570000</v>
      </c>
      <c r="F162">
        <v>112920</v>
      </c>
      <c r="G162">
        <v>114350000</v>
      </c>
      <c r="H162">
        <f>IFERROR(Sheet1[[#This Row],[Volume (24h)]]/Sheet1[[#This Row],[Circulating Supply]],0)</f>
        <v>0</v>
      </c>
      <c r="I162">
        <f>RANK(Table2[[#This Row],[Market Cap]],Table2[Market Cap],0)</f>
        <v>218</v>
      </c>
      <c r="J162" t="str">
        <f t="shared" si="2"/>
        <v>0-0.5</v>
      </c>
    </row>
    <row r="163" spans="1:10" x14ac:dyDescent="0.3">
      <c r="A163" t="s">
        <v>266</v>
      </c>
      <c r="B163" t="s">
        <v>267</v>
      </c>
      <c r="C163">
        <v>8.0409999999999995E-3</v>
      </c>
      <c r="D163">
        <v>0.42</v>
      </c>
      <c r="E163">
        <v>9430000</v>
      </c>
      <c r="F163">
        <v>1240000</v>
      </c>
      <c r="G163">
        <v>1170000000</v>
      </c>
      <c r="H163">
        <f>IFERROR(Sheet1[[#This Row],[Volume (24h)]]/Sheet1[[#This Row],[Circulating Supply]],0)</f>
        <v>5.3458879618593562E-5</v>
      </c>
      <c r="I163">
        <f>RANK(Table2[[#This Row],[Market Cap]],Table2[Market Cap],0)</f>
        <v>136</v>
      </c>
      <c r="J163" t="str">
        <f t="shared" si="2"/>
        <v>0-0.5</v>
      </c>
    </row>
    <row r="164" spans="1:10" x14ac:dyDescent="0.3">
      <c r="A164" t="s">
        <v>418</v>
      </c>
      <c r="B164" t="s">
        <v>419</v>
      </c>
      <c r="C164">
        <v>554.79999999999995</v>
      </c>
      <c r="D164">
        <v>0.08</v>
      </c>
      <c r="E164">
        <v>2590000</v>
      </c>
      <c r="F164">
        <v>155200</v>
      </c>
      <c r="G164">
        <v>4680</v>
      </c>
      <c r="H164">
        <f>IFERROR(Sheet1[[#This Row],[Volume (24h)]]/Sheet1[[#This Row],[Circulating Supply]],0)</f>
        <v>5.515763829177415E-3</v>
      </c>
      <c r="I164">
        <f>RANK(Table2[[#This Row],[Market Cap]],Table2[Market Cap],0)</f>
        <v>216</v>
      </c>
      <c r="J164" t="str">
        <f t="shared" si="2"/>
        <v>100-10000</v>
      </c>
    </row>
    <row r="165" spans="1:10" x14ac:dyDescent="0.3">
      <c r="A165" t="s">
        <v>246</v>
      </c>
      <c r="B165" t="s">
        <v>247</v>
      </c>
      <c r="C165">
        <v>6.8960000000000002E-3</v>
      </c>
      <c r="D165">
        <v>0</v>
      </c>
      <c r="E165">
        <v>12010000</v>
      </c>
      <c r="F165">
        <v>45910</v>
      </c>
      <c r="G165">
        <v>1740000000</v>
      </c>
      <c r="H165">
        <f>IFERROR(Sheet1[[#This Row],[Volume (24h)]]/Sheet1[[#This Row],[Circulating Supply]],0)</f>
        <v>1.7965410027205597E-7</v>
      </c>
      <c r="I165">
        <f>RANK(Table2[[#This Row],[Market Cap]],Table2[Market Cap],0)</f>
        <v>125</v>
      </c>
      <c r="J165" t="str">
        <f t="shared" si="2"/>
        <v>0-0.5</v>
      </c>
    </row>
    <row r="166" spans="1:10" x14ac:dyDescent="0.3">
      <c r="A166" t="s">
        <v>190</v>
      </c>
      <c r="B166" t="s">
        <v>191</v>
      </c>
      <c r="C166">
        <v>1</v>
      </c>
      <c r="D166">
        <v>0.01</v>
      </c>
      <c r="E166">
        <v>20440000</v>
      </c>
      <c r="F166">
        <v>4330000</v>
      </c>
      <c r="G166">
        <v>20360000</v>
      </c>
      <c r="H166">
        <f>IFERROR(Sheet1[[#This Row],[Volume (24h)]]/Sheet1[[#This Row],[Circulating Supply]],0)</f>
        <v>9.1117041555470832E-2</v>
      </c>
      <c r="I166">
        <f>RANK(Table2[[#This Row],[Market Cap]],Table2[Market Cap],0)</f>
        <v>96</v>
      </c>
      <c r="J166" t="str">
        <f t="shared" si="2"/>
        <v>0.5-1</v>
      </c>
    </row>
    <row r="167" spans="1:10" x14ac:dyDescent="0.3">
      <c r="A167" t="s">
        <v>483</v>
      </c>
      <c r="B167" t="s">
        <v>483</v>
      </c>
      <c r="C167">
        <v>1.306E-2</v>
      </c>
      <c r="D167">
        <v>0</v>
      </c>
      <c r="E167">
        <v>1580000</v>
      </c>
      <c r="F167">
        <v>23.89</v>
      </c>
      <c r="G167">
        <v>121040000</v>
      </c>
      <c r="H167">
        <f>IFERROR(Sheet1[[#This Row],[Volume (24h)]]/Sheet1[[#This Row],[Circulating Supply]],0)</f>
        <v>1.1321012197587439E-3</v>
      </c>
      <c r="I167">
        <f>RANK(Table2[[#This Row],[Market Cap]],Table2[Market Cap],0)</f>
        <v>249</v>
      </c>
      <c r="J167" t="str">
        <f t="shared" si="2"/>
        <v>0-0.5</v>
      </c>
    </row>
    <row r="168" spans="1:10" x14ac:dyDescent="0.3">
      <c r="A168" t="s">
        <v>184</v>
      </c>
      <c r="B168" t="s">
        <v>185</v>
      </c>
      <c r="C168">
        <v>819.57</v>
      </c>
      <c r="D168">
        <v>7.0000000000000007E-2</v>
      </c>
      <c r="E168">
        <v>20580000</v>
      </c>
      <c r="F168">
        <v>1140000</v>
      </c>
      <c r="G168">
        <v>25110</v>
      </c>
      <c r="H168">
        <f>IFERROR(Sheet1[[#This Row],[Volume (24h)]]/Sheet1[[#This Row],[Circulating Supply]],0)</f>
        <v>1.5080645161290322E-3</v>
      </c>
      <c r="I168">
        <f>RANK(Table2[[#This Row],[Market Cap]],Table2[Market Cap],0)</f>
        <v>93</v>
      </c>
      <c r="J168" t="str">
        <f t="shared" si="2"/>
        <v>100-10000</v>
      </c>
    </row>
    <row r="169" spans="1:10" x14ac:dyDescent="0.3">
      <c r="A169" t="s">
        <v>132</v>
      </c>
      <c r="B169" t="s">
        <v>133</v>
      </c>
      <c r="C169">
        <v>7.9890000000000003E-2</v>
      </c>
      <c r="D169">
        <v>0.1</v>
      </c>
      <c r="E169">
        <v>38620000</v>
      </c>
      <c r="F169">
        <v>7220000</v>
      </c>
      <c r="G169">
        <v>390560000000000</v>
      </c>
      <c r="H169">
        <f>IFERROR(Sheet1[[#This Row],[Volume (24h)]]/Sheet1[[#This Row],[Circulating Supply]],0)</f>
        <v>6.3110034207525655E-3</v>
      </c>
      <c r="I169">
        <f>RANK(Table2[[#This Row],[Market Cap]],Table2[Market Cap],0)</f>
        <v>66</v>
      </c>
      <c r="J169" t="str">
        <f t="shared" si="2"/>
        <v>0-0.5</v>
      </c>
    </row>
    <row r="170" spans="1:10" x14ac:dyDescent="0.3">
      <c r="A170" t="s">
        <v>364</v>
      </c>
      <c r="B170" t="s">
        <v>365</v>
      </c>
      <c r="C170">
        <v>6.5409999999999996E-2</v>
      </c>
      <c r="D170">
        <v>1</v>
      </c>
      <c r="E170">
        <v>4290000</v>
      </c>
      <c r="F170">
        <v>5290</v>
      </c>
      <c r="G170">
        <v>65720000</v>
      </c>
      <c r="H170">
        <f>IFERROR(Sheet1[[#This Row],[Volume (24h)]]/Sheet1[[#This Row],[Circulating Supply]],0)</f>
        <v>6.3332280710277652E-7</v>
      </c>
      <c r="I170">
        <f>RANK(Table2[[#This Row],[Market Cap]],Table2[Market Cap],0)</f>
        <v>187</v>
      </c>
      <c r="J170" t="str">
        <f t="shared" si="2"/>
        <v>0-0.5</v>
      </c>
    </row>
    <row r="171" spans="1:10" x14ac:dyDescent="0.3">
      <c r="A171" t="s">
        <v>49</v>
      </c>
      <c r="B171" t="s">
        <v>50</v>
      </c>
      <c r="C171">
        <v>2.07E-2</v>
      </c>
      <c r="D171">
        <v>0.02</v>
      </c>
      <c r="E171">
        <v>244880000</v>
      </c>
      <c r="F171">
        <v>14140000</v>
      </c>
      <c r="G171">
        <v>11820000000</v>
      </c>
      <c r="H171">
        <f>IFERROR(Sheet1[[#This Row],[Volume (24h)]]/Sheet1[[#This Row],[Circulating Supply]],0)</f>
        <v>31.51810858602397</v>
      </c>
      <c r="I171">
        <f>RANK(Table2[[#This Row],[Market Cap]],Table2[Market Cap],0)</f>
        <v>38</v>
      </c>
      <c r="J171" t="str">
        <f t="shared" si="2"/>
        <v>0-0.5</v>
      </c>
    </row>
    <row r="172" spans="1:10" x14ac:dyDescent="0.3">
      <c r="A172" t="s">
        <v>30</v>
      </c>
      <c r="B172" t="s">
        <v>31</v>
      </c>
      <c r="C172">
        <v>354.89</v>
      </c>
      <c r="D172">
        <v>0.57999999999999996</v>
      </c>
      <c r="E172">
        <v>6660000000</v>
      </c>
      <c r="F172">
        <v>93100000</v>
      </c>
      <c r="G172">
        <v>18780000</v>
      </c>
      <c r="H172">
        <f>IFERROR(Sheet1[[#This Row],[Volume (24h)]]/Sheet1[[#This Row],[Circulating Supply]],0)</f>
        <v>8.3497592295345098E-5</v>
      </c>
      <c r="I172">
        <f>RANK(Table2[[#This Row],[Market Cap]],Table2[Market Cap],0)</f>
        <v>15</v>
      </c>
      <c r="J172" t="str">
        <f t="shared" si="2"/>
        <v>100-10000</v>
      </c>
    </row>
    <row r="173" spans="1:10" x14ac:dyDescent="0.3">
      <c r="A173" t="s">
        <v>290</v>
      </c>
      <c r="B173" t="s">
        <v>291</v>
      </c>
      <c r="C173">
        <v>7.6010000000000001E-3</v>
      </c>
      <c r="D173">
        <v>0.05</v>
      </c>
      <c r="E173">
        <v>9150000</v>
      </c>
      <c r="F173">
        <v>3070000</v>
      </c>
      <c r="G173">
        <v>1200000000</v>
      </c>
      <c r="H173">
        <f>IFERROR(Sheet1[[#This Row],[Volume (24h)]]/Sheet1[[#This Row],[Circulating Supply]],0)</f>
        <v>5.9877701761821155E-5</v>
      </c>
      <c r="I173">
        <f>RANK(Table2[[#This Row],[Market Cap]],Table2[Market Cap],0)</f>
        <v>148</v>
      </c>
      <c r="J173" t="str">
        <f t="shared" si="2"/>
        <v>0-0.5</v>
      </c>
    </row>
    <row r="174" spans="1:10" x14ac:dyDescent="0.3">
      <c r="A174" t="s">
        <v>302</v>
      </c>
      <c r="B174" t="s">
        <v>303</v>
      </c>
      <c r="C174">
        <v>1.8020000000000001E-2</v>
      </c>
      <c r="D174">
        <v>0.03</v>
      </c>
      <c r="E174">
        <v>7370000</v>
      </c>
      <c r="F174">
        <v>3930000</v>
      </c>
      <c r="G174">
        <v>409110000</v>
      </c>
      <c r="H174">
        <f>IFERROR(Sheet1[[#This Row],[Volume (24h)]]/Sheet1[[#This Row],[Circulating Supply]],0)</f>
        <v>1.0548960138648181E-2</v>
      </c>
      <c r="I174">
        <f>RANK(Table2[[#This Row],[Market Cap]],Table2[Market Cap],0)</f>
        <v>153</v>
      </c>
      <c r="J174" t="str">
        <f t="shared" si="2"/>
        <v>0-0.5</v>
      </c>
    </row>
    <row r="175" spans="1:10" x14ac:dyDescent="0.3">
      <c r="A175" t="s">
        <v>114</v>
      </c>
      <c r="B175" t="s">
        <v>115</v>
      </c>
      <c r="C175">
        <v>0.40310000000000001</v>
      </c>
      <c r="D175">
        <v>0.13</v>
      </c>
      <c r="E175">
        <v>53710000</v>
      </c>
      <c r="F175">
        <v>230710</v>
      </c>
      <c r="G175">
        <v>133240000</v>
      </c>
      <c r="H175">
        <f>IFERROR(Sheet1[[#This Row],[Volume (24h)]]/Sheet1[[#This Row],[Circulating Supply]],0)</f>
        <v>1.2723435492750963E-3</v>
      </c>
      <c r="I175">
        <f>RANK(Table2[[#This Row],[Market Cap]],Table2[Market Cap],0)</f>
        <v>58</v>
      </c>
      <c r="J175" t="str">
        <f t="shared" si="2"/>
        <v>0-0.5</v>
      </c>
    </row>
    <row r="176" spans="1:10" x14ac:dyDescent="0.3">
      <c r="A176" t="s">
        <v>575</v>
      </c>
      <c r="B176" t="s">
        <v>576</v>
      </c>
      <c r="C176">
        <v>9.1189999999999999E-4</v>
      </c>
      <c r="D176">
        <v>4.4800000000000004</v>
      </c>
      <c r="E176">
        <v>861080</v>
      </c>
      <c r="F176">
        <v>1760</v>
      </c>
      <c r="G176">
        <v>944180000</v>
      </c>
      <c r="H176">
        <f>IFERROR(Sheet1[[#This Row],[Volume (24h)]]/Sheet1[[#This Row],[Circulating Supply]],0)</f>
        <v>209.62199312714776</v>
      </c>
      <c r="I176">
        <f>RANK(Table2[[#This Row],[Market Cap]],Table2[Market Cap],0)</f>
        <v>300</v>
      </c>
      <c r="J176" t="str">
        <f t="shared" si="2"/>
        <v>0-0.5</v>
      </c>
    </row>
    <row r="177" spans="1:10" x14ac:dyDescent="0.3">
      <c r="A177" t="s">
        <v>278</v>
      </c>
      <c r="B177" t="s">
        <v>279</v>
      </c>
      <c r="C177">
        <v>189.95</v>
      </c>
      <c r="D177">
        <v>0.19</v>
      </c>
      <c r="E177">
        <v>9200000</v>
      </c>
      <c r="F177">
        <v>6070000</v>
      </c>
      <c r="G177">
        <v>48480</v>
      </c>
      <c r="H177">
        <f>IFERROR(Sheet1[[#This Row],[Volume (24h)]]/Sheet1[[#This Row],[Circulating Supply]],0)</f>
        <v>1.0945205479452054E-2</v>
      </c>
      <c r="I177">
        <f>RANK(Table2[[#This Row],[Market Cap]],Table2[Market Cap],0)</f>
        <v>142</v>
      </c>
      <c r="J177" t="str">
        <f t="shared" si="2"/>
        <v>100-10000</v>
      </c>
    </row>
    <row r="178" spans="1:10" x14ac:dyDescent="0.3">
      <c r="A178" t="s">
        <v>362</v>
      </c>
      <c r="B178" t="s">
        <v>363</v>
      </c>
      <c r="C178">
        <v>4.797E-4</v>
      </c>
      <c r="D178">
        <v>0.37</v>
      </c>
      <c r="E178">
        <v>4310000</v>
      </c>
      <c r="F178">
        <v>239490</v>
      </c>
      <c r="G178">
        <v>8990000000</v>
      </c>
      <c r="H178">
        <f>IFERROR(Sheet1[[#This Row],[Volume (24h)]]/Sheet1[[#This Row],[Circulating Supply]],0)</f>
        <v>2.4532410965923648E-2</v>
      </c>
      <c r="I178">
        <f>RANK(Table2[[#This Row],[Market Cap]],Table2[Market Cap],0)</f>
        <v>186</v>
      </c>
      <c r="J178" t="str">
        <f t="shared" si="2"/>
        <v>0-0.5</v>
      </c>
    </row>
    <row r="179" spans="1:10" x14ac:dyDescent="0.3">
      <c r="A179" t="s">
        <v>268</v>
      </c>
      <c r="B179" t="s">
        <v>269</v>
      </c>
      <c r="C179">
        <v>0.94079999999999997</v>
      </c>
      <c r="D179">
        <v>0.12</v>
      </c>
      <c r="E179">
        <v>9400000</v>
      </c>
      <c r="F179">
        <v>0</v>
      </c>
      <c r="G179">
        <v>10000000</v>
      </c>
      <c r="H179">
        <f>IFERROR(Sheet1[[#This Row],[Volume (24h)]]/Sheet1[[#This Row],[Circulating Supply]],0)</f>
        <v>7.5725900116144024E-2</v>
      </c>
      <c r="I179">
        <f>RANK(Table2[[#This Row],[Market Cap]],Table2[Market Cap],0)</f>
        <v>137</v>
      </c>
      <c r="J179" t="str">
        <f t="shared" si="2"/>
        <v>0.5-1</v>
      </c>
    </row>
    <row r="180" spans="1:10" x14ac:dyDescent="0.3">
      <c r="A180" t="s">
        <v>542</v>
      </c>
      <c r="B180" t="s">
        <v>543</v>
      </c>
      <c r="C180">
        <v>1.047E-3</v>
      </c>
      <c r="D180">
        <v>0.69</v>
      </c>
      <c r="E180">
        <v>1040000</v>
      </c>
      <c r="F180">
        <v>773890</v>
      </c>
      <c r="G180">
        <v>999910000</v>
      </c>
      <c r="H180">
        <f>IFERROR(Sheet1[[#This Row],[Volume (24h)]]/Sheet1[[#This Row],[Circulating Supply]],0)</f>
        <v>7.2294974860097148E-3</v>
      </c>
      <c r="I180">
        <f>RANK(Table2[[#This Row],[Market Cap]],Table2[Market Cap],0)</f>
        <v>278</v>
      </c>
      <c r="J180" t="str">
        <f t="shared" si="2"/>
        <v>0-0.5</v>
      </c>
    </row>
    <row r="181" spans="1:10" x14ac:dyDescent="0.3">
      <c r="A181" t="s">
        <v>286</v>
      </c>
      <c r="B181" t="s">
        <v>287</v>
      </c>
      <c r="C181">
        <v>1.06</v>
      </c>
      <c r="D181">
        <v>0.06</v>
      </c>
      <c r="E181">
        <v>9170000</v>
      </c>
      <c r="F181">
        <v>223200</v>
      </c>
      <c r="G181">
        <v>8610000</v>
      </c>
      <c r="H181">
        <f>IFERROR(Sheet1[[#This Row],[Volume (24h)]]/Sheet1[[#This Row],[Circulating Supply]],0)</f>
        <v>0</v>
      </c>
      <c r="I181">
        <f>RANK(Table2[[#This Row],[Market Cap]],Table2[Market Cap],0)</f>
        <v>146</v>
      </c>
      <c r="J181" t="str">
        <f t="shared" si="2"/>
        <v>1-2</v>
      </c>
    </row>
    <row r="182" spans="1:10" x14ac:dyDescent="0.3">
      <c r="A182" t="s">
        <v>152</v>
      </c>
      <c r="B182" t="s">
        <v>153</v>
      </c>
      <c r="C182">
        <v>1.268E-2</v>
      </c>
      <c r="D182">
        <v>0.28000000000000003</v>
      </c>
      <c r="E182">
        <v>28590000</v>
      </c>
      <c r="F182">
        <v>667300</v>
      </c>
      <c r="G182">
        <v>2250000000</v>
      </c>
      <c r="H182">
        <f>IFERROR(Sheet1[[#This Row],[Volume (24h)]]/Sheet1[[#This Row],[Circulating Supply]],0)</f>
        <v>1.1330360762059181E-3</v>
      </c>
      <c r="I182">
        <f>RANK(Table2[[#This Row],[Market Cap]],Table2[Market Cap],0)</f>
        <v>75</v>
      </c>
      <c r="J182" t="str">
        <f t="shared" si="2"/>
        <v>0-0.5</v>
      </c>
    </row>
    <row r="183" spans="1:10" x14ac:dyDescent="0.3">
      <c r="A183" t="s">
        <v>420</v>
      </c>
      <c r="B183" t="s">
        <v>421</v>
      </c>
      <c r="C183">
        <v>1.3220000000000001E-2</v>
      </c>
      <c r="D183">
        <v>0.04</v>
      </c>
      <c r="E183">
        <v>2580000</v>
      </c>
      <c r="F183">
        <v>1130</v>
      </c>
      <c r="G183">
        <v>195420000</v>
      </c>
      <c r="H183">
        <f>IFERROR(Sheet1[[#This Row],[Volume (24h)]]/Sheet1[[#This Row],[Circulating Supply]],0)</f>
        <v>1.4509803921568627E-2</v>
      </c>
      <c r="I183">
        <f>RANK(Table2[[#This Row],[Market Cap]],Table2[Market Cap],0)</f>
        <v>217</v>
      </c>
      <c r="J183" t="str">
        <f t="shared" si="2"/>
        <v>0-0.5</v>
      </c>
    </row>
    <row r="184" spans="1:10" x14ac:dyDescent="0.3">
      <c r="A184" t="s">
        <v>445</v>
      </c>
      <c r="B184" t="s">
        <v>446</v>
      </c>
      <c r="C184">
        <v>2.2469999999999999E-3</v>
      </c>
      <c r="D184">
        <v>0.47</v>
      </c>
      <c r="E184">
        <v>2030000</v>
      </c>
      <c r="F184">
        <v>185590</v>
      </c>
      <c r="G184">
        <v>904010000</v>
      </c>
      <c r="H184">
        <f>IFERROR(Sheet1[[#This Row],[Volume (24h)]]/Sheet1[[#This Row],[Circulating Supply]],0)</f>
        <v>2.1190476190476189E-7</v>
      </c>
      <c r="I184">
        <f>RANK(Table2[[#This Row],[Market Cap]],Table2[Market Cap],0)</f>
        <v>229</v>
      </c>
      <c r="J184" t="str">
        <f t="shared" si="2"/>
        <v>0-0.5</v>
      </c>
    </row>
    <row r="185" spans="1:10" x14ac:dyDescent="0.3">
      <c r="A185" t="s">
        <v>544</v>
      </c>
      <c r="B185" t="s">
        <v>545</v>
      </c>
      <c r="C185">
        <v>2.075E-3</v>
      </c>
      <c r="D185">
        <v>0.95</v>
      </c>
      <c r="E185">
        <v>1040000</v>
      </c>
      <c r="F185">
        <v>118180</v>
      </c>
      <c r="G185">
        <v>504080000</v>
      </c>
      <c r="H185">
        <f>IFERROR(Sheet1[[#This Row],[Volume (24h)]]/Sheet1[[#This Row],[Circulating Supply]],0)</f>
        <v>179.59183673469389</v>
      </c>
      <c r="I185">
        <f>RANK(Table2[[#This Row],[Market Cap]],Table2[Market Cap],0)</f>
        <v>278</v>
      </c>
      <c r="J185" t="str">
        <f t="shared" si="2"/>
        <v>0-0.5</v>
      </c>
    </row>
    <row r="186" spans="1:10" x14ac:dyDescent="0.3">
      <c r="A186" t="s">
        <v>120</v>
      </c>
      <c r="B186" t="s">
        <v>121</v>
      </c>
      <c r="C186">
        <v>200.13</v>
      </c>
      <c r="D186">
        <v>0.23</v>
      </c>
      <c r="E186">
        <v>38940000</v>
      </c>
      <c r="F186">
        <v>2810000</v>
      </c>
      <c r="G186">
        <v>194590</v>
      </c>
      <c r="H186">
        <f>IFERROR(Sheet1[[#This Row],[Volume (24h)]]/Sheet1[[#This Row],[Circulating Supply]],0)</f>
        <v>3.3500617030028792E-4</v>
      </c>
      <c r="I186">
        <f>RANK(Table2[[#This Row],[Market Cap]],Table2[Market Cap],0)</f>
        <v>60</v>
      </c>
      <c r="J186" t="str">
        <f t="shared" si="2"/>
        <v>100-10000</v>
      </c>
    </row>
    <row r="187" spans="1:10" x14ac:dyDescent="0.3">
      <c r="A187" t="s">
        <v>405</v>
      </c>
      <c r="B187" t="s">
        <v>406</v>
      </c>
      <c r="C187">
        <v>8.9829999999999999E-4</v>
      </c>
      <c r="D187">
        <v>3.85</v>
      </c>
      <c r="E187">
        <v>3360000</v>
      </c>
      <c r="F187">
        <v>441790</v>
      </c>
      <c r="G187">
        <v>3740000000</v>
      </c>
      <c r="H187">
        <f>IFERROR(Sheet1[[#This Row],[Volume (24h)]]/Sheet1[[#This Row],[Circulating Supply]],0)</f>
        <v>2.663959955506118E-5</v>
      </c>
      <c r="I187">
        <f>RANK(Table2[[#This Row],[Market Cap]],Table2[Market Cap],0)</f>
        <v>196</v>
      </c>
      <c r="J187" t="str">
        <f t="shared" si="2"/>
        <v>0-0.5</v>
      </c>
    </row>
    <row r="188" spans="1:10" x14ac:dyDescent="0.3">
      <c r="A188" t="s">
        <v>253</v>
      </c>
      <c r="B188" t="s">
        <v>254</v>
      </c>
      <c r="C188">
        <v>2.5</v>
      </c>
      <c r="D188">
        <v>0.25</v>
      </c>
      <c r="E188">
        <v>11930000</v>
      </c>
      <c r="F188">
        <v>2320000</v>
      </c>
      <c r="G188">
        <v>4750000</v>
      </c>
      <c r="H188">
        <f>IFERROR(Sheet1[[#This Row],[Volume (24h)]]/Sheet1[[#This Row],[Circulating Supply]],0)</f>
        <v>8.0493000608642724E-5</v>
      </c>
      <c r="I188">
        <f>RANK(Table2[[#This Row],[Market Cap]],Table2[Market Cap],0)</f>
        <v>129</v>
      </c>
      <c r="J188" t="str">
        <f t="shared" si="2"/>
        <v>2-10</v>
      </c>
    </row>
    <row r="189" spans="1:10" x14ac:dyDescent="0.3">
      <c r="A189" t="s">
        <v>67</v>
      </c>
      <c r="B189" t="s">
        <v>68</v>
      </c>
      <c r="C189">
        <v>1.1399999999999999</v>
      </c>
      <c r="D189">
        <v>0</v>
      </c>
      <c r="E189">
        <v>2150000000</v>
      </c>
      <c r="F189">
        <v>540150</v>
      </c>
      <c r="G189">
        <v>1880000000</v>
      </c>
      <c r="H189">
        <f>IFERROR(Sheet1[[#This Row],[Volume (24h)]]/Sheet1[[#This Row],[Circulating Supply]],0)</f>
        <v>0</v>
      </c>
      <c r="I189">
        <f>RANK(Table2[[#This Row],[Market Cap]],Table2[Market Cap],0)</f>
        <v>17</v>
      </c>
      <c r="J189" t="str">
        <f t="shared" si="2"/>
        <v>1-2</v>
      </c>
    </row>
    <row r="190" spans="1:10" x14ac:dyDescent="0.3">
      <c r="A190" t="s">
        <v>206</v>
      </c>
      <c r="B190" t="s">
        <v>207</v>
      </c>
      <c r="C190">
        <v>4.1950000000000001E-2</v>
      </c>
      <c r="D190">
        <v>0.09</v>
      </c>
      <c r="E190">
        <v>20010000</v>
      </c>
      <c r="F190">
        <v>430340</v>
      </c>
      <c r="G190">
        <v>477120000</v>
      </c>
      <c r="H190">
        <f>IFERROR(Sheet1[[#This Row],[Volume (24h)]]/Sheet1[[#This Row],[Circulating Supply]],0)</f>
        <v>1.5949458483754512E-8</v>
      </c>
      <c r="I190">
        <f>RANK(Table2[[#This Row],[Market Cap]],Table2[Market Cap],0)</f>
        <v>104</v>
      </c>
      <c r="J190" t="str">
        <f t="shared" si="2"/>
        <v>0-0.5</v>
      </c>
    </row>
    <row r="191" spans="1:10" x14ac:dyDescent="0.3">
      <c r="A191" t="s">
        <v>196</v>
      </c>
      <c r="B191" t="s">
        <v>197</v>
      </c>
      <c r="C191">
        <v>697.68</v>
      </c>
      <c r="D191">
        <v>0.08</v>
      </c>
      <c r="E191">
        <v>20290000</v>
      </c>
      <c r="F191">
        <v>152840</v>
      </c>
      <c r="G191">
        <v>29080</v>
      </c>
      <c r="H191">
        <f>IFERROR(Sheet1[[#This Row],[Volume (24h)]]/Sheet1[[#This Row],[Circulating Supply]],0)</f>
        <v>1.5167650950398553E-3</v>
      </c>
      <c r="I191">
        <f>RANK(Table2[[#This Row],[Market Cap]],Table2[Market Cap],0)</f>
        <v>98</v>
      </c>
      <c r="J191" t="str">
        <f t="shared" si="2"/>
        <v>100-10000</v>
      </c>
    </row>
    <row r="192" spans="1:10" x14ac:dyDescent="0.3">
      <c r="A192" t="s">
        <v>565</v>
      </c>
      <c r="B192" t="s">
        <v>566</v>
      </c>
      <c r="C192">
        <v>4.4310000000000002E-2</v>
      </c>
      <c r="D192">
        <v>0.13</v>
      </c>
      <c r="E192">
        <v>870390</v>
      </c>
      <c r="F192">
        <v>23600</v>
      </c>
      <c r="G192">
        <v>19630000</v>
      </c>
      <c r="H192">
        <f>IFERROR(Sheet1[[#This Row],[Volume (24h)]]/Sheet1[[#This Row],[Circulating Supply]],0)</f>
        <v>2.3094058680423249E-4</v>
      </c>
      <c r="I192">
        <f>RANK(Table2[[#This Row],[Market Cap]],Table2[Market Cap],0)</f>
        <v>295</v>
      </c>
      <c r="J192" t="str">
        <f t="shared" si="2"/>
        <v>0-0.5</v>
      </c>
    </row>
    <row r="193" spans="1:10" x14ac:dyDescent="0.3">
      <c r="A193" t="s">
        <v>112</v>
      </c>
      <c r="B193" t="s">
        <v>113</v>
      </c>
      <c r="C193">
        <v>0.1736</v>
      </c>
      <c r="D193">
        <v>0.01</v>
      </c>
      <c r="E193">
        <v>53740000</v>
      </c>
      <c r="F193">
        <v>7520000</v>
      </c>
      <c r="G193">
        <v>309580000</v>
      </c>
      <c r="H193">
        <f>IFERROR(Sheet1[[#This Row],[Volume (24h)]]/Sheet1[[#This Row],[Circulating Supply]],0)</f>
        <v>0</v>
      </c>
      <c r="I193">
        <f>RANK(Table2[[#This Row],[Market Cap]],Table2[Market Cap],0)</f>
        <v>57</v>
      </c>
      <c r="J193" t="str">
        <f t="shared" si="2"/>
        <v>0-0.5</v>
      </c>
    </row>
    <row r="194" spans="1:10" x14ac:dyDescent="0.3">
      <c r="A194" t="s">
        <v>257</v>
      </c>
      <c r="B194" t="s">
        <v>258</v>
      </c>
      <c r="C194">
        <v>1.1860000000000001E-2</v>
      </c>
      <c r="D194">
        <v>3.06</v>
      </c>
      <c r="E194">
        <v>11820000</v>
      </c>
      <c r="F194">
        <v>3350000</v>
      </c>
      <c r="G194">
        <v>997210000</v>
      </c>
      <c r="H194">
        <f>IFERROR(Sheet1[[#This Row],[Volume (24h)]]/Sheet1[[#This Row],[Circulating Supply]],0)</f>
        <v>7.669336229129904E-3</v>
      </c>
      <c r="I194">
        <f>RANK(Table2[[#This Row],[Market Cap]],Table2[Market Cap],0)</f>
        <v>131</v>
      </c>
      <c r="J194" t="str">
        <f t="shared" ref="J194:J257" si="3">IF(C194&lt;=0.5,"0-0.5",
IF(C194&lt;=1,"0.5-1",
IF(C194&lt;=2,"1-2",
IF(C194&lt;=10,"2-10",
IF(C194&lt;=100,"10-100",
IF(C194&lt;=10000,"100-10000",
"10000+"))))))</f>
        <v>0-0.5</v>
      </c>
    </row>
    <row r="195" spans="1:10" x14ac:dyDescent="0.3">
      <c r="A195" t="s">
        <v>142</v>
      </c>
      <c r="B195" t="s">
        <v>143</v>
      </c>
      <c r="C195">
        <v>0.26400000000000001</v>
      </c>
      <c r="D195">
        <v>1.98</v>
      </c>
      <c r="E195">
        <v>38100000</v>
      </c>
      <c r="F195">
        <v>16650000</v>
      </c>
      <c r="G195">
        <v>144270000</v>
      </c>
      <c r="H195">
        <f>IFERROR(Sheet1[[#This Row],[Volume (24h)]]/Sheet1[[#This Row],[Circulating Supply]],0)</f>
        <v>1.4648332460275885E-11</v>
      </c>
      <c r="I195">
        <f>RANK(Table2[[#This Row],[Market Cap]],Table2[Market Cap],0)</f>
        <v>71</v>
      </c>
      <c r="J195" t="str">
        <f t="shared" si="3"/>
        <v>0-0.5</v>
      </c>
    </row>
    <row r="196" spans="1:10" x14ac:dyDescent="0.3">
      <c r="A196" t="s">
        <v>148</v>
      </c>
      <c r="B196" t="s">
        <v>149</v>
      </c>
      <c r="C196">
        <v>3.5349999999999999E-2</v>
      </c>
      <c r="D196">
        <v>0.06</v>
      </c>
      <c r="E196">
        <v>37760000</v>
      </c>
      <c r="F196">
        <v>581340</v>
      </c>
      <c r="G196">
        <v>1060000000</v>
      </c>
      <c r="H196">
        <f>IFERROR(Sheet1[[#This Row],[Volume (24h)]]/Sheet1[[#This Row],[Circulating Supply]],0)</f>
        <v>2.3021582733812949E-4</v>
      </c>
      <c r="I196">
        <f>RANK(Table2[[#This Row],[Market Cap]],Table2[Market Cap],0)</f>
        <v>74</v>
      </c>
      <c r="J196" t="str">
        <f t="shared" si="3"/>
        <v>0-0.5</v>
      </c>
    </row>
    <row r="197" spans="1:10" x14ac:dyDescent="0.3">
      <c r="A197" t="s">
        <v>122</v>
      </c>
      <c r="B197" t="s">
        <v>123</v>
      </c>
      <c r="C197">
        <v>3.8929999999999999E-2</v>
      </c>
      <c r="D197">
        <v>0.24</v>
      </c>
      <c r="E197">
        <v>38920000</v>
      </c>
      <c r="F197">
        <v>7410000</v>
      </c>
      <c r="G197">
        <v>999840000</v>
      </c>
      <c r="H197">
        <f>IFERROR(Sheet1[[#This Row],[Volume (24h)]]/Sheet1[[#This Row],[Circulating Supply]],0)</f>
        <v>0.2210599721059972</v>
      </c>
      <c r="I197">
        <f>RANK(Table2[[#This Row],[Market Cap]],Table2[Market Cap],0)</f>
        <v>61</v>
      </c>
      <c r="J197" t="str">
        <f t="shared" si="3"/>
        <v>0-0.5</v>
      </c>
    </row>
    <row r="198" spans="1:10" x14ac:dyDescent="0.3">
      <c r="A198" t="s">
        <v>409</v>
      </c>
      <c r="B198" t="s">
        <v>410</v>
      </c>
      <c r="C198">
        <v>8.6289000000000005E-2</v>
      </c>
      <c r="D198">
        <v>0.98</v>
      </c>
      <c r="E198">
        <v>2640000</v>
      </c>
      <c r="F198">
        <v>30710</v>
      </c>
      <c r="G198">
        <v>420680000000000</v>
      </c>
      <c r="H198">
        <f>IFERROR(Sheet1[[#This Row],[Volume (24h)]]/Sheet1[[#This Row],[Circulating Supply]],0)</f>
        <v>2.6385041551246535E-4</v>
      </c>
      <c r="I198">
        <f>RANK(Table2[[#This Row],[Market Cap]],Table2[Market Cap],0)</f>
        <v>211</v>
      </c>
      <c r="J198" t="str">
        <f t="shared" si="3"/>
        <v>0-0.5</v>
      </c>
    </row>
    <row r="199" spans="1:10" x14ac:dyDescent="0.3">
      <c r="A199" t="s">
        <v>47</v>
      </c>
      <c r="B199" t="s">
        <v>48</v>
      </c>
      <c r="C199">
        <v>1.44</v>
      </c>
      <c r="D199">
        <v>0.39</v>
      </c>
      <c r="E199">
        <v>247330000</v>
      </c>
      <c r="F199">
        <v>24390000</v>
      </c>
      <c r="G199">
        <v>171750000</v>
      </c>
      <c r="H199">
        <f>IFERROR(Sheet1[[#This Row],[Volume (24h)]]/Sheet1[[#This Row],[Circulating Supply]],0)</f>
        <v>21.167221046265496</v>
      </c>
      <c r="I199">
        <f>RANK(Table2[[#This Row],[Market Cap]],Table2[Market Cap],0)</f>
        <v>37</v>
      </c>
      <c r="J199" t="str">
        <f t="shared" si="3"/>
        <v>1-2</v>
      </c>
    </row>
    <row r="200" spans="1:10" x14ac:dyDescent="0.3">
      <c r="A200" t="s">
        <v>319</v>
      </c>
      <c r="B200" t="s">
        <v>320</v>
      </c>
      <c r="C200">
        <v>6.8819999999999995E-5</v>
      </c>
      <c r="D200">
        <v>1.07</v>
      </c>
      <c r="E200">
        <v>7080000</v>
      </c>
      <c r="F200">
        <v>18490</v>
      </c>
      <c r="G200">
        <v>102920000000</v>
      </c>
      <c r="H200">
        <f>IFERROR(Sheet1[[#This Row],[Volume (24h)]]/Sheet1[[#This Row],[Circulating Supply]],0)</f>
        <v>3.6181137457657337</v>
      </c>
      <c r="I200">
        <f>RANK(Table2[[#This Row],[Market Cap]],Table2[Market Cap],0)</f>
        <v>162</v>
      </c>
      <c r="J200" t="str">
        <f t="shared" si="3"/>
        <v>0-0.5</v>
      </c>
    </row>
    <row r="201" spans="1:10" x14ac:dyDescent="0.3">
      <c r="A201" t="s">
        <v>506</v>
      </c>
      <c r="B201" t="s">
        <v>507</v>
      </c>
      <c r="C201">
        <v>1.9359999999999999E-2</v>
      </c>
      <c r="D201">
        <v>0.55000000000000004</v>
      </c>
      <c r="E201">
        <v>1270000</v>
      </c>
      <c r="F201">
        <v>49670</v>
      </c>
      <c r="G201">
        <v>66000000</v>
      </c>
      <c r="H201">
        <f>IFERROR(Sheet1[[#This Row],[Volume (24h)]]/Sheet1[[#This Row],[Circulating Supply]],0)</f>
        <v>8.2689576681740806E-6</v>
      </c>
      <c r="I201">
        <f>RANK(Table2[[#This Row],[Market Cap]],Table2[Market Cap],0)</f>
        <v>262</v>
      </c>
      <c r="J201" t="str">
        <f t="shared" si="3"/>
        <v>0-0.5</v>
      </c>
    </row>
    <row r="202" spans="1:10" x14ac:dyDescent="0.3">
      <c r="A202" t="s">
        <v>92</v>
      </c>
      <c r="B202" t="s">
        <v>93</v>
      </c>
      <c r="C202">
        <v>0.42949999999999999</v>
      </c>
      <c r="D202">
        <v>0.59</v>
      </c>
      <c r="E202">
        <v>58250000</v>
      </c>
      <c r="F202">
        <v>5170000</v>
      </c>
      <c r="G202">
        <v>135600000</v>
      </c>
      <c r="H202">
        <f>IFERROR(Sheet1[[#This Row],[Volume (24h)]]/Sheet1[[#This Row],[Circulating Supply]],0)</f>
        <v>2.7251813838258715E-4</v>
      </c>
      <c r="I202">
        <f>RANK(Table2[[#This Row],[Market Cap]],Table2[Market Cap],0)</f>
        <v>46</v>
      </c>
      <c r="J202" t="str">
        <f t="shared" si="3"/>
        <v>0-0.5</v>
      </c>
    </row>
    <row r="203" spans="1:10" x14ac:dyDescent="0.3">
      <c r="A203" t="s">
        <v>378</v>
      </c>
      <c r="B203" t="s">
        <v>379</v>
      </c>
      <c r="C203">
        <v>6.0490000000000001E-4</v>
      </c>
      <c r="D203">
        <v>0.4</v>
      </c>
      <c r="E203">
        <v>4200000</v>
      </c>
      <c r="F203">
        <v>1600000</v>
      </c>
      <c r="G203">
        <v>6950000000</v>
      </c>
      <c r="H203">
        <f>IFERROR(Sheet1[[#This Row],[Volume (24h)]]/Sheet1[[#This Row],[Circulating Supply]],0)</f>
        <v>2.5752000000000001E-3</v>
      </c>
      <c r="I203">
        <f>RANK(Table2[[#This Row],[Market Cap]],Table2[Market Cap],0)</f>
        <v>194</v>
      </c>
      <c r="J203" t="str">
        <f t="shared" si="3"/>
        <v>0-0.5</v>
      </c>
    </row>
    <row r="204" spans="1:10" x14ac:dyDescent="0.3">
      <c r="A204" t="s">
        <v>521</v>
      </c>
      <c r="B204" t="s">
        <v>521</v>
      </c>
      <c r="C204">
        <v>8.2533999999999996E-2</v>
      </c>
      <c r="D204">
        <v>0.48</v>
      </c>
      <c r="E204">
        <v>1060000</v>
      </c>
      <c r="F204">
        <v>23390</v>
      </c>
      <c r="G204">
        <v>420690000000000</v>
      </c>
      <c r="H204">
        <f>IFERROR(Sheet1[[#This Row],[Volume (24h)]]/Sheet1[[#This Row],[Circulating Supply]],0)</f>
        <v>0</v>
      </c>
      <c r="I204">
        <f>RANK(Table2[[#This Row],[Market Cap]],Table2[Market Cap],0)</f>
        <v>271</v>
      </c>
      <c r="J204" t="str">
        <f t="shared" si="3"/>
        <v>0-0.5</v>
      </c>
    </row>
    <row r="205" spans="1:10" x14ac:dyDescent="0.3">
      <c r="A205" t="s">
        <v>522</v>
      </c>
      <c r="B205" t="s">
        <v>523</v>
      </c>
      <c r="C205">
        <v>8.0360000000000001E-2</v>
      </c>
      <c r="D205">
        <v>0</v>
      </c>
      <c r="E205">
        <v>1050000</v>
      </c>
      <c r="F205">
        <v>267140</v>
      </c>
      <c r="G205">
        <v>13180000</v>
      </c>
      <c r="H205">
        <f>IFERROR(Sheet1[[#This Row],[Volume (24h)]]/Sheet1[[#This Row],[Circulating Supply]],0)</f>
        <v>67.764882066641704</v>
      </c>
      <c r="I205">
        <f>RANK(Table2[[#This Row],[Market Cap]],Table2[Market Cap],0)</f>
        <v>273</v>
      </c>
      <c r="J205" t="str">
        <f t="shared" si="3"/>
        <v>0-0.5</v>
      </c>
    </row>
    <row r="206" spans="1:10" x14ac:dyDescent="0.3">
      <c r="A206" t="s">
        <v>443</v>
      </c>
      <c r="B206" t="s">
        <v>444</v>
      </c>
      <c r="C206">
        <v>64.08</v>
      </c>
      <c r="D206">
        <v>0.61</v>
      </c>
      <c r="E206">
        <v>2030000</v>
      </c>
      <c r="F206">
        <v>1760000</v>
      </c>
      <c r="G206">
        <v>31780</v>
      </c>
      <c r="H206">
        <f>IFERROR(Sheet1[[#This Row],[Volume (24h)]]/Sheet1[[#This Row],[Circulating Supply]],0)</f>
        <v>6.3999999999999997E-5</v>
      </c>
      <c r="I206">
        <f>RANK(Table2[[#This Row],[Market Cap]],Table2[Market Cap],0)</f>
        <v>229</v>
      </c>
      <c r="J206" t="str">
        <f t="shared" si="3"/>
        <v>10-100</v>
      </c>
    </row>
    <row r="207" spans="1:10" x14ac:dyDescent="0.3">
      <c r="A207" t="s">
        <v>407</v>
      </c>
      <c r="B207" t="s">
        <v>408</v>
      </c>
      <c r="C207">
        <v>5.7838000000000001E-2</v>
      </c>
      <c r="D207">
        <v>0.21</v>
      </c>
      <c r="E207">
        <v>3270000</v>
      </c>
      <c r="F207">
        <v>218630</v>
      </c>
      <c r="G207">
        <v>417210000000</v>
      </c>
      <c r="H207">
        <f>IFERROR(Sheet1[[#This Row],[Volume (24h)]]/Sheet1[[#This Row],[Circulating Supply]],0)</f>
        <v>2.2245764780549726E-3</v>
      </c>
      <c r="I207">
        <f>RANK(Table2[[#This Row],[Market Cap]],Table2[Market Cap],0)</f>
        <v>210</v>
      </c>
      <c r="J207" t="str">
        <f t="shared" si="3"/>
        <v>0-0.5</v>
      </c>
    </row>
    <row r="208" spans="1:10" x14ac:dyDescent="0.3">
      <c r="A208" t="s">
        <v>242</v>
      </c>
      <c r="B208" t="s">
        <v>243</v>
      </c>
      <c r="C208">
        <v>1.2070000000000001E-2</v>
      </c>
      <c r="D208">
        <v>0.05</v>
      </c>
      <c r="E208">
        <v>12050000</v>
      </c>
      <c r="F208">
        <v>247740</v>
      </c>
      <c r="G208">
        <v>998150000</v>
      </c>
      <c r="H208">
        <f>IFERROR(Sheet1[[#This Row],[Volume (24h)]]/Sheet1[[#This Row],[Circulating Supply]],0)</f>
        <v>2.4797114517583407E-4</v>
      </c>
      <c r="I208">
        <f>RANK(Table2[[#This Row],[Market Cap]],Table2[Market Cap],0)</f>
        <v>123</v>
      </c>
      <c r="J208" t="str">
        <f t="shared" si="3"/>
        <v>0-0.5</v>
      </c>
    </row>
    <row r="209" spans="1:10" x14ac:dyDescent="0.3">
      <c r="A209" t="s">
        <v>449</v>
      </c>
      <c r="B209" t="s">
        <v>450</v>
      </c>
      <c r="C209">
        <v>147.44</v>
      </c>
      <c r="D209">
        <v>0.16</v>
      </c>
      <c r="E209">
        <v>2020000</v>
      </c>
      <c r="F209">
        <v>1640000</v>
      </c>
      <c r="G209">
        <v>13710</v>
      </c>
      <c r="H209">
        <f>IFERROR(Sheet1[[#This Row],[Volume (24h)]]/Sheet1[[#This Row],[Circulating Supply]],0)</f>
        <v>692.98245614035091</v>
      </c>
      <c r="I209">
        <f>RANK(Table2[[#This Row],[Market Cap]],Table2[Market Cap],0)</f>
        <v>232</v>
      </c>
      <c r="J209" t="str">
        <f t="shared" si="3"/>
        <v>100-10000</v>
      </c>
    </row>
    <row r="210" spans="1:10" x14ac:dyDescent="0.3">
      <c r="A210" t="s">
        <v>329</v>
      </c>
      <c r="B210" t="s">
        <v>329</v>
      </c>
      <c r="C210">
        <v>1.3859999999999999E-5</v>
      </c>
      <c r="D210">
        <v>0.91</v>
      </c>
      <c r="E210">
        <v>5700000</v>
      </c>
      <c r="F210">
        <v>260720</v>
      </c>
      <c r="G210">
        <v>411670000000</v>
      </c>
      <c r="H210">
        <f>IFERROR(Sheet1[[#This Row],[Volume (24h)]]/Sheet1[[#This Row],[Circulating Supply]],0)</f>
        <v>1.1812566844919786E-4</v>
      </c>
      <c r="I210">
        <f>RANK(Table2[[#This Row],[Market Cap]],Table2[Market Cap],0)</f>
        <v>169</v>
      </c>
      <c r="J210" t="str">
        <f t="shared" si="3"/>
        <v>0-0.5</v>
      </c>
    </row>
    <row r="211" spans="1:10" x14ac:dyDescent="0.3">
      <c r="A211" t="s">
        <v>534</v>
      </c>
      <c r="B211" t="s">
        <v>535</v>
      </c>
      <c r="C211">
        <v>6.5989999999999997E-5</v>
      </c>
      <c r="D211">
        <v>1.42</v>
      </c>
      <c r="E211">
        <v>1040000</v>
      </c>
      <c r="F211">
        <v>52780</v>
      </c>
      <c r="G211">
        <v>15900000000</v>
      </c>
      <c r="H211">
        <f>IFERROR(Sheet1[[#This Row],[Volume (24h)]]/Sheet1[[#This Row],[Circulating Supply]],0)</f>
        <v>5.2402866661872919E-7</v>
      </c>
      <c r="I211">
        <f>RANK(Table2[[#This Row],[Market Cap]],Table2[Market Cap],0)</f>
        <v>278</v>
      </c>
      <c r="J211" t="str">
        <f t="shared" si="3"/>
        <v>0-0.5</v>
      </c>
    </row>
    <row r="212" spans="1:10" x14ac:dyDescent="0.3">
      <c r="A212" t="s">
        <v>244</v>
      </c>
      <c r="B212" t="s">
        <v>245</v>
      </c>
      <c r="C212">
        <v>0.20369999999999999</v>
      </c>
      <c r="D212">
        <v>0.26</v>
      </c>
      <c r="E212">
        <v>12030000</v>
      </c>
      <c r="F212">
        <v>3220000</v>
      </c>
      <c r="G212">
        <v>59070000</v>
      </c>
      <c r="H212">
        <f>IFERROR(Sheet1[[#This Row],[Volume (24h)]]/Sheet1[[#This Row],[Circulating Supply]],0)</f>
        <v>7.3000855757345245E-11</v>
      </c>
      <c r="I212">
        <f>RANK(Table2[[#This Row],[Market Cap]],Table2[Market Cap],0)</f>
        <v>124</v>
      </c>
      <c r="J212" t="str">
        <f t="shared" si="3"/>
        <v>0-0.5</v>
      </c>
    </row>
    <row r="213" spans="1:10" x14ac:dyDescent="0.3">
      <c r="A213" t="s">
        <v>63</v>
      </c>
      <c r="B213" t="s">
        <v>64</v>
      </c>
      <c r="C213">
        <v>1.2749999999999999E-2</v>
      </c>
      <c r="D213">
        <v>0.02</v>
      </c>
      <c r="E213">
        <v>8850000000</v>
      </c>
      <c r="F213">
        <v>27530000</v>
      </c>
      <c r="G213">
        <v>694570000000</v>
      </c>
      <c r="H213">
        <f>IFERROR(Sheet1[[#This Row],[Volume (24h)]]/Sheet1[[#This Row],[Circulating Supply]],0)</f>
        <v>6.520691524606951E-6</v>
      </c>
      <c r="I213">
        <f>RANK(Table2[[#This Row],[Market Cap]],Table2[Market Cap],0)</f>
        <v>12</v>
      </c>
      <c r="J213" t="str">
        <f t="shared" si="3"/>
        <v>0-0.5</v>
      </c>
    </row>
    <row r="214" spans="1:10" x14ac:dyDescent="0.3">
      <c r="A214" t="s">
        <v>487</v>
      </c>
      <c r="B214" t="s">
        <v>488</v>
      </c>
      <c r="C214">
        <v>8.0759999999999998E-2</v>
      </c>
      <c r="D214">
        <v>0.19</v>
      </c>
      <c r="E214">
        <v>1570000</v>
      </c>
      <c r="F214">
        <v>238760</v>
      </c>
      <c r="G214">
        <v>19480000</v>
      </c>
      <c r="H214">
        <f>IFERROR(Sheet1[[#This Row],[Volume (24h)]]/Sheet1[[#This Row],[Circulating Supply]],0)</f>
        <v>1.9669718309859154E-4</v>
      </c>
      <c r="I214">
        <f>RANK(Table2[[#This Row],[Market Cap]],Table2[Market Cap],0)</f>
        <v>252</v>
      </c>
      <c r="J214" t="str">
        <f t="shared" si="3"/>
        <v>0-0.5</v>
      </c>
    </row>
    <row r="215" spans="1:10" x14ac:dyDescent="0.3">
      <c r="A215" t="s">
        <v>90</v>
      </c>
      <c r="B215" t="s">
        <v>91</v>
      </c>
      <c r="C215">
        <v>3.5760000000000002E-3</v>
      </c>
      <c r="D215">
        <v>0.11</v>
      </c>
      <c r="E215">
        <v>58580000</v>
      </c>
      <c r="F215">
        <v>2210000</v>
      </c>
      <c r="G215">
        <v>16380000000</v>
      </c>
      <c r="H215">
        <f>IFERROR(Sheet1[[#This Row],[Volume (24h)]]/Sheet1[[#This Row],[Circulating Supply]],0)</f>
        <v>1.5219877326125376E-4</v>
      </c>
      <c r="I215">
        <f>RANK(Table2[[#This Row],[Market Cap]],Table2[Market Cap],0)</f>
        <v>45</v>
      </c>
      <c r="J215" t="str">
        <f t="shared" si="3"/>
        <v>0-0.5</v>
      </c>
    </row>
    <row r="216" spans="1:10" x14ac:dyDescent="0.3">
      <c r="A216" t="s">
        <v>493</v>
      </c>
      <c r="B216" t="s">
        <v>494</v>
      </c>
      <c r="C216">
        <v>1.9589999999999998E-3</v>
      </c>
      <c r="D216">
        <v>0.01</v>
      </c>
      <c r="E216">
        <v>1290000</v>
      </c>
      <c r="F216">
        <v>98630</v>
      </c>
      <c r="G216">
        <v>663490000</v>
      </c>
      <c r="H216">
        <f>IFERROR(Sheet1[[#This Row],[Volume (24h)]]/Sheet1[[#This Row],[Circulating Supply]],0)</f>
        <v>1.5968595323434033E-3</v>
      </c>
      <c r="I216">
        <f>RANK(Table2[[#This Row],[Market Cap]],Table2[Market Cap],0)</f>
        <v>257</v>
      </c>
      <c r="J216" t="str">
        <f t="shared" si="3"/>
        <v>0-0.5</v>
      </c>
    </row>
    <row r="217" spans="1:10" x14ac:dyDescent="0.3">
      <c r="A217" t="s">
        <v>388</v>
      </c>
      <c r="B217" t="s">
        <v>389</v>
      </c>
      <c r="C217">
        <v>3.323E-3</v>
      </c>
      <c r="D217">
        <v>0.11</v>
      </c>
      <c r="E217">
        <v>3290000</v>
      </c>
      <c r="F217">
        <v>8210</v>
      </c>
      <c r="G217">
        <v>992870000</v>
      </c>
      <c r="H217">
        <f>IFERROR(Sheet1[[#This Row],[Volume (24h)]]/Sheet1[[#This Row],[Circulating Supply]],0)</f>
        <v>33.162393162393165</v>
      </c>
      <c r="I217">
        <f>RANK(Table2[[#This Row],[Market Cap]],Table2[Market Cap],0)</f>
        <v>200</v>
      </c>
      <c r="J217" t="str">
        <f t="shared" si="3"/>
        <v>0-0.5</v>
      </c>
    </row>
    <row r="218" spans="1:10" x14ac:dyDescent="0.3">
      <c r="A218" t="s">
        <v>512</v>
      </c>
      <c r="B218" t="s">
        <v>512</v>
      </c>
      <c r="C218">
        <v>3.5459999999999998E-2</v>
      </c>
      <c r="D218">
        <v>0.01</v>
      </c>
      <c r="E218">
        <v>1270000</v>
      </c>
      <c r="F218">
        <v>0</v>
      </c>
      <c r="G218">
        <v>35890000</v>
      </c>
      <c r="H218">
        <f>IFERROR(Sheet1[[#This Row],[Volume (24h)]]/Sheet1[[#This Row],[Circulating Supply]],0)</f>
        <v>5.7824173574864392E-6</v>
      </c>
      <c r="I218">
        <f>RANK(Table2[[#This Row],[Market Cap]],Table2[Market Cap],0)</f>
        <v>262</v>
      </c>
      <c r="J218" t="str">
        <f t="shared" si="3"/>
        <v>0-0.5</v>
      </c>
    </row>
    <row r="219" spans="1:10" x14ac:dyDescent="0.3">
      <c r="A219" t="s">
        <v>481</v>
      </c>
      <c r="B219" t="s">
        <v>482</v>
      </c>
      <c r="C219">
        <v>85.33</v>
      </c>
      <c r="D219">
        <v>0</v>
      </c>
      <c r="E219">
        <v>1580000</v>
      </c>
      <c r="F219">
        <v>0</v>
      </c>
      <c r="G219">
        <v>18530</v>
      </c>
      <c r="H219">
        <f>IFERROR(Sheet1[[#This Row],[Volume (24h)]]/Sheet1[[#This Row],[Circulating Supply]],0)</f>
        <v>1.2488618239814412E-3</v>
      </c>
      <c r="I219">
        <f>RANK(Table2[[#This Row],[Market Cap]],Table2[Market Cap],0)</f>
        <v>249</v>
      </c>
      <c r="J219" t="str">
        <f t="shared" si="3"/>
        <v>10-100</v>
      </c>
    </row>
    <row r="220" spans="1:10" x14ac:dyDescent="0.3">
      <c r="A220" t="s">
        <v>485</v>
      </c>
      <c r="B220" t="s">
        <v>486</v>
      </c>
      <c r="C220">
        <v>76.34</v>
      </c>
      <c r="D220">
        <v>0</v>
      </c>
      <c r="E220">
        <v>1570000</v>
      </c>
      <c r="F220">
        <v>0</v>
      </c>
      <c r="G220">
        <v>20640</v>
      </c>
      <c r="H220">
        <f>IFERROR(Sheet1[[#This Row],[Volume (24h)]]/Sheet1[[#This Row],[Circulating Supply]],0)</f>
        <v>9.8749453432444255E-4</v>
      </c>
      <c r="I220">
        <f>RANK(Table2[[#This Row],[Market Cap]],Table2[Market Cap],0)</f>
        <v>252</v>
      </c>
      <c r="J220" t="str">
        <f t="shared" si="3"/>
        <v>10-100</v>
      </c>
    </row>
    <row r="221" spans="1:10" x14ac:dyDescent="0.3">
      <c r="A221" t="s">
        <v>225</v>
      </c>
      <c r="B221" t="s">
        <v>225</v>
      </c>
      <c r="C221">
        <v>7.9100000000000004E-3</v>
      </c>
      <c r="D221">
        <v>4.3499999999999996</v>
      </c>
      <c r="E221">
        <v>15580000</v>
      </c>
      <c r="F221">
        <v>1000000</v>
      </c>
      <c r="G221">
        <v>1970000000</v>
      </c>
      <c r="H221">
        <f>IFERROR(Sheet1[[#This Row],[Volume (24h)]]/Sheet1[[#This Row],[Circulating Supply]],0)</f>
        <v>5.6222320358337011E-7</v>
      </c>
      <c r="I221">
        <f>RANK(Table2[[#This Row],[Market Cap]],Table2[Market Cap],0)</f>
        <v>114</v>
      </c>
      <c r="J221" t="str">
        <f t="shared" si="3"/>
        <v>0-0.5</v>
      </c>
    </row>
    <row r="222" spans="1:10" x14ac:dyDescent="0.3">
      <c r="A222" t="s">
        <v>554</v>
      </c>
      <c r="B222" t="s">
        <v>555</v>
      </c>
      <c r="C222">
        <v>64.62</v>
      </c>
      <c r="D222">
        <v>0.56000000000000005</v>
      </c>
      <c r="E222">
        <v>881280</v>
      </c>
      <c r="F222">
        <v>1080000</v>
      </c>
      <c r="G222">
        <v>13630</v>
      </c>
      <c r="H222">
        <f>IFERROR(Sheet1[[#This Row],[Volume (24h)]]/Sheet1[[#This Row],[Circulating Supply]],0)</f>
        <v>5.8668515950069345E-4</v>
      </c>
      <c r="I222">
        <f>RANK(Table2[[#This Row],[Market Cap]],Table2[Market Cap],0)</f>
        <v>287</v>
      </c>
      <c r="J222" t="str">
        <f t="shared" si="3"/>
        <v>10-100</v>
      </c>
    </row>
    <row r="223" spans="1:10" x14ac:dyDescent="0.3">
      <c r="A223" t="s">
        <v>202</v>
      </c>
      <c r="B223" t="s">
        <v>203</v>
      </c>
      <c r="C223">
        <v>0.12959999999999999</v>
      </c>
      <c r="D223">
        <v>0.18</v>
      </c>
      <c r="E223">
        <v>20090000</v>
      </c>
      <c r="F223">
        <v>432160</v>
      </c>
      <c r="G223">
        <v>155000000</v>
      </c>
      <c r="H223">
        <f>IFERROR(Sheet1[[#This Row],[Volume (24h)]]/Sheet1[[#This Row],[Circulating Supply]],0)</f>
        <v>2.3036912751677852E-6</v>
      </c>
      <c r="I223">
        <f>RANK(Table2[[#This Row],[Market Cap]],Table2[Market Cap],0)</f>
        <v>102</v>
      </c>
      <c r="J223" t="str">
        <f t="shared" si="3"/>
        <v>0-0.5</v>
      </c>
    </row>
    <row r="224" spans="1:10" x14ac:dyDescent="0.3">
      <c r="A224" t="s">
        <v>124</v>
      </c>
      <c r="B224" t="s">
        <v>125</v>
      </c>
      <c r="C224">
        <v>5.0360000000000002E-2</v>
      </c>
      <c r="D224">
        <v>1.96</v>
      </c>
      <c r="E224">
        <v>38900000</v>
      </c>
      <c r="F224">
        <v>3020000</v>
      </c>
      <c r="G224">
        <v>772400000</v>
      </c>
      <c r="H224">
        <f>IFERROR(Sheet1[[#This Row],[Volume (24h)]]/Sheet1[[#This Row],[Circulating Supply]],0)</f>
        <v>1.6335664335664336E-5</v>
      </c>
      <c r="I224">
        <f>RANK(Table2[[#This Row],[Market Cap]],Table2[Market Cap],0)</f>
        <v>62</v>
      </c>
      <c r="J224" t="str">
        <f t="shared" si="3"/>
        <v>0-0.5</v>
      </c>
    </row>
    <row r="225" spans="1:10" x14ac:dyDescent="0.3">
      <c r="A225" t="s">
        <v>384</v>
      </c>
      <c r="B225" t="s">
        <v>385</v>
      </c>
      <c r="C225">
        <v>50.02</v>
      </c>
      <c r="D225">
        <v>1.17</v>
      </c>
      <c r="E225">
        <v>3300000</v>
      </c>
      <c r="F225">
        <v>1400000</v>
      </c>
      <c r="G225">
        <v>66140</v>
      </c>
      <c r="H225">
        <f>IFERROR(Sheet1[[#This Row],[Volume (24h)]]/Sheet1[[#This Row],[Circulating Supply]],0)</f>
        <v>1.1047331319234643E-2</v>
      </c>
      <c r="I225">
        <f>RANK(Table2[[#This Row],[Market Cap]],Table2[Market Cap],0)</f>
        <v>198</v>
      </c>
      <c r="J225" t="str">
        <f t="shared" si="3"/>
        <v>10-100</v>
      </c>
    </row>
    <row r="226" spans="1:10" x14ac:dyDescent="0.3">
      <c r="A226" t="s">
        <v>370</v>
      </c>
      <c r="B226" t="s">
        <v>370</v>
      </c>
      <c r="C226">
        <v>4.5849999999999997E-3</v>
      </c>
      <c r="D226">
        <v>0.08</v>
      </c>
      <c r="E226">
        <v>4260000</v>
      </c>
      <c r="F226">
        <v>1410000</v>
      </c>
      <c r="G226">
        <v>929610000</v>
      </c>
      <c r="H226">
        <f>IFERROR(Sheet1[[#This Row],[Volume (24h)]]/Sheet1[[#This Row],[Circulating Supply]],0)</f>
        <v>1.372804163955758E-4</v>
      </c>
      <c r="I226">
        <f>RANK(Table2[[#This Row],[Market Cap]],Table2[Market Cap],0)</f>
        <v>190</v>
      </c>
      <c r="J226" t="str">
        <f t="shared" si="3"/>
        <v>0-0.5</v>
      </c>
    </row>
    <row r="227" spans="1:10" x14ac:dyDescent="0.3">
      <c r="A227" t="s">
        <v>192</v>
      </c>
      <c r="B227" t="s">
        <v>193</v>
      </c>
      <c r="C227">
        <v>1211.4100000000001</v>
      </c>
      <c r="D227">
        <v>0.35</v>
      </c>
      <c r="E227">
        <v>20380000</v>
      </c>
      <c r="F227">
        <v>2040000</v>
      </c>
      <c r="G227">
        <v>16830</v>
      </c>
      <c r="H227">
        <f>IFERROR(Sheet1[[#This Row],[Volume (24h)]]/Sheet1[[#This Row],[Circulating Supply]],0)</f>
        <v>1.5956478694360832E-4</v>
      </c>
      <c r="I227">
        <f>RANK(Table2[[#This Row],[Market Cap]],Table2[Market Cap],0)</f>
        <v>97</v>
      </c>
      <c r="J227" t="str">
        <f t="shared" si="3"/>
        <v>100-10000</v>
      </c>
    </row>
    <row r="228" spans="1:10" x14ac:dyDescent="0.3">
      <c r="A228" t="s">
        <v>200</v>
      </c>
      <c r="B228" t="s">
        <v>201</v>
      </c>
      <c r="C228">
        <v>8.0439999999999998E-2</v>
      </c>
      <c r="D228">
        <v>0.38</v>
      </c>
      <c r="E228">
        <v>20110000</v>
      </c>
      <c r="F228">
        <v>4120000</v>
      </c>
      <c r="G228">
        <v>250000000</v>
      </c>
      <c r="H228">
        <f>IFERROR(Sheet1[[#This Row],[Volume (24h)]]/Sheet1[[#This Row],[Circulating Supply]],0)</f>
        <v>1.1806122448979592E-2</v>
      </c>
      <c r="I228">
        <f>RANK(Table2[[#This Row],[Market Cap]],Table2[Market Cap],0)</f>
        <v>101</v>
      </c>
      <c r="J228" t="str">
        <f t="shared" si="3"/>
        <v>0-0.5</v>
      </c>
    </row>
    <row r="229" spans="1:10" x14ac:dyDescent="0.3">
      <c r="A229" t="s">
        <v>524</v>
      </c>
      <c r="B229" t="s">
        <v>525</v>
      </c>
      <c r="C229">
        <v>2.8400000000000002E-4</v>
      </c>
      <c r="D229">
        <v>0.39</v>
      </c>
      <c r="E229">
        <v>1050000</v>
      </c>
      <c r="F229">
        <v>798580</v>
      </c>
      <c r="G229">
        <v>3720000000</v>
      </c>
      <c r="H229">
        <f>IFERROR(Sheet1[[#This Row],[Volume (24h)]]/Sheet1[[#This Row],[Circulating Supply]],0)</f>
        <v>33.910891089108908</v>
      </c>
      <c r="I229">
        <f>RANK(Table2[[#This Row],[Market Cap]],Table2[Market Cap],0)</f>
        <v>273</v>
      </c>
      <c r="J229" t="str">
        <f t="shared" si="3"/>
        <v>0-0.5</v>
      </c>
    </row>
    <row r="230" spans="1:10" x14ac:dyDescent="0.3">
      <c r="A230" t="s">
        <v>255</v>
      </c>
      <c r="B230" t="s">
        <v>256</v>
      </c>
      <c r="C230">
        <v>1.294E-2</v>
      </c>
      <c r="D230">
        <v>0.24</v>
      </c>
      <c r="E230">
        <v>11860000</v>
      </c>
      <c r="F230">
        <v>17920</v>
      </c>
      <c r="G230">
        <v>916780000</v>
      </c>
      <c r="H230">
        <f>IFERROR(Sheet1[[#This Row],[Volume (24h)]]/Sheet1[[#This Row],[Circulating Supply]],0)</f>
        <v>195.00870574579221</v>
      </c>
      <c r="I230">
        <f>RANK(Table2[[#This Row],[Market Cap]],Table2[Market Cap],0)</f>
        <v>130</v>
      </c>
      <c r="J230" t="str">
        <f t="shared" si="3"/>
        <v>0-0.5</v>
      </c>
    </row>
    <row r="231" spans="1:10" x14ac:dyDescent="0.3">
      <c r="A231" t="s">
        <v>350</v>
      </c>
      <c r="B231" t="s">
        <v>351</v>
      </c>
      <c r="C231">
        <v>0.1221</v>
      </c>
      <c r="D231">
        <v>0</v>
      </c>
      <c r="E231">
        <v>5570000</v>
      </c>
      <c r="F231">
        <v>0</v>
      </c>
      <c r="G231">
        <v>45660000</v>
      </c>
      <c r="H231">
        <f>IFERROR(Sheet1[[#This Row],[Volume (24h)]]/Sheet1[[#This Row],[Circulating Supply]],0)</f>
        <v>55.380742605412209</v>
      </c>
      <c r="I231">
        <f>RANK(Table2[[#This Row],[Market Cap]],Table2[Market Cap],0)</f>
        <v>180</v>
      </c>
      <c r="J231" t="str">
        <f t="shared" si="3"/>
        <v>0-0.5</v>
      </c>
    </row>
    <row r="232" spans="1:10" x14ac:dyDescent="0.3">
      <c r="A232" t="s">
        <v>556</v>
      </c>
      <c r="B232" t="s">
        <v>557</v>
      </c>
      <c r="C232">
        <v>1.8259999999999998E-2</v>
      </c>
      <c r="D232">
        <v>0.01</v>
      </c>
      <c r="E232">
        <v>878560</v>
      </c>
      <c r="F232">
        <v>3260</v>
      </c>
      <c r="G232">
        <v>48090000</v>
      </c>
      <c r="H232">
        <f>IFERROR(Sheet1[[#This Row],[Volume (24h)]]/Sheet1[[#This Row],[Circulating Supply]],0)</f>
        <v>2.0529640158847801E-4</v>
      </c>
      <c r="I232">
        <f>RANK(Table2[[#This Row],[Market Cap]],Table2[Market Cap],0)</f>
        <v>290</v>
      </c>
      <c r="J232" t="str">
        <f t="shared" si="3"/>
        <v>0-0.5</v>
      </c>
    </row>
    <row r="233" spans="1:10" x14ac:dyDescent="0.3">
      <c r="A233" t="s">
        <v>171</v>
      </c>
      <c r="B233" t="s">
        <v>172</v>
      </c>
      <c r="C233">
        <v>113.71</v>
      </c>
      <c r="D233">
        <v>0.75</v>
      </c>
      <c r="E233">
        <v>27900000</v>
      </c>
      <c r="F233">
        <v>74140000</v>
      </c>
      <c r="G233">
        <v>245360</v>
      </c>
      <c r="H233">
        <f>IFERROR(Sheet1[[#This Row],[Volume (24h)]]/Sheet1[[#This Row],[Circulating Supply]],0)</f>
        <v>77.757685352622062</v>
      </c>
      <c r="I233">
        <f>RANK(Table2[[#This Row],[Market Cap]],Table2[Market Cap],0)</f>
        <v>86</v>
      </c>
      <c r="J233" t="str">
        <f t="shared" si="3"/>
        <v>100-10000</v>
      </c>
    </row>
    <row r="234" spans="1:10" x14ac:dyDescent="0.3">
      <c r="A234" t="s">
        <v>573</v>
      </c>
      <c r="B234" t="s">
        <v>574</v>
      </c>
      <c r="C234">
        <v>2.387E-4</v>
      </c>
      <c r="D234">
        <v>2.02</v>
      </c>
      <c r="E234">
        <v>863090</v>
      </c>
      <c r="F234">
        <v>182740</v>
      </c>
      <c r="G234">
        <v>3610000000</v>
      </c>
      <c r="H234">
        <f>IFERROR(Sheet1[[#This Row],[Volume (24h)]]/Sheet1[[#This Row],[Circulating Supply]],0)</f>
        <v>119.62071480671042</v>
      </c>
      <c r="I234">
        <f>RANK(Table2[[#This Row],[Market Cap]],Table2[Market Cap],0)</f>
        <v>299</v>
      </c>
      <c r="J234" t="str">
        <f t="shared" si="3"/>
        <v>0-0.5</v>
      </c>
    </row>
    <row r="235" spans="1:10" x14ac:dyDescent="0.3">
      <c r="A235" t="s">
        <v>456</v>
      </c>
      <c r="B235" t="s">
        <v>457</v>
      </c>
      <c r="C235">
        <v>7.4410000000000003E-4</v>
      </c>
      <c r="D235">
        <v>0.67</v>
      </c>
      <c r="E235">
        <v>1990000</v>
      </c>
      <c r="F235">
        <v>75080</v>
      </c>
      <c r="G235">
        <v>2680000000</v>
      </c>
      <c r="H235">
        <f>IFERROR(Sheet1[[#This Row],[Volume (24h)]]/Sheet1[[#This Row],[Circulating Supply]],0)</f>
        <v>2.4938941655359563E-4</v>
      </c>
      <c r="I235">
        <f>RANK(Table2[[#This Row],[Market Cap]],Table2[Market Cap],0)</f>
        <v>237</v>
      </c>
      <c r="J235" t="str">
        <f t="shared" si="3"/>
        <v>0-0.5</v>
      </c>
    </row>
    <row r="236" spans="1:10" x14ac:dyDescent="0.3">
      <c r="A236" t="s">
        <v>513</v>
      </c>
      <c r="B236" t="s">
        <v>514</v>
      </c>
      <c r="C236">
        <v>1.6102100000000001E-2</v>
      </c>
      <c r="D236">
        <v>0.01</v>
      </c>
      <c r="E236">
        <v>1270000</v>
      </c>
      <c r="F236">
        <v>385.44</v>
      </c>
      <c r="G236">
        <v>0</v>
      </c>
      <c r="H236">
        <f>IFERROR(Sheet1[[#This Row],[Volume (24h)]]/Sheet1[[#This Row],[Circulating Supply]],0)</f>
        <v>8.6452241715399614E-7</v>
      </c>
      <c r="I236">
        <f>RANK(Table2[[#This Row],[Market Cap]],Table2[Market Cap],0)</f>
        <v>262</v>
      </c>
      <c r="J236" t="str">
        <f t="shared" si="3"/>
        <v>0-0.5</v>
      </c>
    </row>
    <row r="237" spans="1:10" x14ac:dyDescent="0.3">
      <c r="A237" t="s">
        <v>163</v>
      </c>
      <c r="B237" t="s">
        <v>164</v>
      </c>
      <c r="C237">
        <v>5.0370000000000005E-4</v>
      </c>
      <c r="D237">
        <v>0.18</v>
      </c>
      <c r="E237">
        <v>28220000</v>
      </c>
      <c r="F237">
        <v>2490000</v>
      </c>
      <c r="G237">
        <v>56020000000</v>
      </c>
      <c r="H237">
        <f>IFERROR(Sheet1[[#This Row],[Volume (24h)]]/Sheet1[[#This Row],[Circulating Supply]],0)</f>
        <v>0</v>
      </c>
      <c r="I237">
        <f>RANK(Table2[[#This Row],[Market Cap]],Table2[Market Cap],0)</f>
        <v>82</v>
      </c>
      <c r="J237" t="str">
        <f t="shared" si="3"/>
        <v>0-0.5</v>
      </c>
    </row>
    <row r="238" spans="1:10" x14ac:dyDescent="0.3">
      <c r="A238" t="s">
        <v>560</v>
      </c>
      <c r="B238" t="s">
        <v>561</v>
      </c>
      <c r="C238">
        <v>6.0540000000000004E-3</v>
      </c>
      <c r="D238">
        <v>0.5</v>
      </c>
      <c r="E238">
        <v>873610</v>
      </c>
      <c r="F238">
        <v>0</v>
      </c>
      <c r="G238">
        <v>144290000</v>
      </c>
      <c r="H238">
        <f>IFERROR(Sheet1[[#This Row],[Volume (24h)]]/Sheet1[[#This Row],[Circulating Supply]],0)</f>
        <v>2.8014925373134327E-5</v>
      </c>
      <c r="I238">
        <f>RANK(Table2[[#This Row],[Market Cap]],Table2[Market Cap],0)</f>
        <v>292</v>
      </c>
      <c r="J238" t="str">
        <f t="shared" si="3"/>
        <v>0-0.5</v>
      </c>
    </row>
    <row r="239" spans="1:10" x14ac:dyDescent="0.3">
      <c r="A239" t="s">
        <v>240</v>
      </c>
      <c r="B239" t="s">
        <v>241</v>
      </c>
      <c r="C239">
        <v>16.260000000000002</v>
      </c>
      <c r="D239">
        <v>0.17</v>
      </c>
      <c r="E239">
        <v>12090000</v>
      </c>
      <c r="F239">
        <v>249160</v>
      </c>
      <c r="G239">
        <v>743820</v>
      </c>
      <c r="H239">
        <f>IFERROR(Sheet1[[#This Row],[Volume (24h)]]/Sheet1[[#This Row],[Circulating Supply]],0)</f>
        <v>1.6510368511425176E-11</v>
      </c>
      <c r="I239">
        <f>RANK(Table2[[#This Row],[Market Cap]],Table2[Market Cap],0)</f>
        <v>122</v>
      </c>
      <c r="J239" t="str">
        <f t="shared" si="3"/>
        <v>10-100</v>
      </c>
    </row>
    <row r="240" spans="1:10" x14ac:dyDescent="0.3">
      <c r="A240" t="s">
        <v>18</v>
      </c>
      <c r="B240" t="s">
        <v>19</v>
      </c>
      <c r="C240">
        <v>72.87</v>
      </c>
      <c r="D240">
        <v>0.24</v>
      </c>
      <c r="E240">
        <v>42240000000</v>
      </c>
      <c r="F240">
        <v>1610000000</v>
      </c>
      <c r="G240">
        <v>579700000</v>
      </c>
      <c r="H240">
        <f>IFERROR(Sheet1[[#This Row],[Volume (24h)]]/Sheet1[[#This Row],[Circulating Supply]],0)</f>
        <v>1.2887179487179487E-5</v>
      </c>
      <c r="I240">
        <f>RANK(Table2[[#This Row],[Market Cap]],Table2[Market Cap],0)</f>
        <v>7</v>
      </c>
      <c r="J240" t="str">
        <f t="shared" si="3"/>
        <v>10-100</v>
      </c>
    </row>
    <row r="241" spans="1:10" x14ac:dyDescent="0.3">
      <c r="A241" t="s">
        <v>82</v>
      </c>
      <c r="B241" t="s">
        <v>83</v>
      </c>
      <c r="C241">
        <v>1</v>
      </c>
      <c r="D241">
        <v>0.02</v>
      </c>
      <c r="E241">
        <v>518340000.00000012</v>
      </c>
      <c r="F241">
        <v>23780000</v>
      </c>
      <c r="G241">
        <v>517030000</v>
      </c>
      <c r="H241">
        <f>IFERROR(Sheet1[[#This Row],[Volume (24h)]]/Sheet1[[#This Row],[Circulating Supply]],0)</f>
        <v>1.0659920072192858E-8</v>
      </c>
      <c r="I241">
        <f>RANK(Table2[[#This Row],[Market Cap]],Table2[Market Cap],0)</f>
        <v>26</v>
      </c>
      <c r="J241" t="str">
        <f t="shared" si="3"/>
        <v>0.5-1</v>
      </c>
    </row>
    <row r="242" spans="1:10" x14ac:dyDescent="0.3">
      <c r="A242" t="s">
        <v>181</v>
      </c>
      <c r="B242" t="s">
        <v>182</v>
      </c>
      <c r="C242">
        <v>8.4809999999999997E-2</v>
      </c>
      <c r="D242">
        <v>0.17</v>
      </c>
      <c r="E242">
        <v>20630000</v>
      </c>
      <c r="F242">
        <v>2950000</v>
      </c>
      <c r="G242">
        <v>243230000</v>
      </c>
      <c r="H242">
        <f>IFERROR(Sheet1[[#This Row],[Volume (24h)]]/Sheet1[[#This Row],[Circulating Supply]],0)</f>
        <v>3.3535000000000002E-6</v>
      </c>
      <c r="I242">
        <f>RANK(Table2[[#This Row],[Market Cap]],Table2[Market Cap],0)</f>
        <v>91</v>
      </c>
      <c r="J242" t="str">
        <f t="shared" si="3"/>
        <v>0-0.5</v>
      </c>
    </row>
    <row r="243" spans="1:10" x14ac:dyDescent="0.3">
      <c r="A243" t="s">
        <v>305</v>
      </c>
      <c r="B243" t="s">
        <v>306</v>
      </c>
      <c r="C243">
        <v>108.07</v>
      </c>
      <c r="D243">
        <v>0.23</v>
      </c>
      <c r="E243">
        <v>7250000</v>
      </c>
      <c r="F243">
        <v>549860</v>
      </c>
      <c r="G243">
        <v>67120</v>
      </c>
      <c r="H243">
        <f>IFERROR(Sheet1[[#This Row],[Volume (24h)]]/Sheet1[[#This Row],[Circulating Supply]],0)</f>
        <v>1.0356999999999999E-7</v>
      </c>
      <c r="I243">
        <f>RANK(Table2[[#This Row],[Market Cap]],Table2[Market Cap],0)</f>
        <v>156</v>
      </c>
      <c r="J243" t="str">
        <f t="shared" si="3"/>
        <v>100-10000</v>
      </c>
    </row>
    <row r="244" spans="1:10" x14ac:dyDescent="0.3">
      <c r="A244" t="s">
        <v>571</v>
      </c>
      <c r="B244" t="s">
        <v>572</v>
      </c>
      <c r="C244">
        <v>6.8490000000000001E-3</v>
      </c>
      <c r="D244">
        <v>0.32</v>
      </c>
      <c r="E244">
        <v>863810</v>
      </c>
      <c r="F244">
        <v>75990</v>
      </c>
      <c r="G244">
        <v>126120000</v>
      </c>
      <c r="H244">
        <f>IFERROR(Sheet1[[#This Row],[Volume (24h)]]/Sheet1[[#This Row],[Circulating Supply]],0)</f>
        <v>0</v>
      </c>
      <c r="I244">
        <f>RANK(Table2[[#This Row],[Market Cap]],Table2[Market Cap],0)</f>
        <v>298</v>
      </c>
      <c r="J244" t="str">
        <f t="shared" si="3"/>
        <v>0-0.5</v>
      </c>
    </row>
    <row r="245" spans="1:10" x14ac:dyDescent="0.3">
      <c r="A245" t="s">
        <v>309</v>
      </c>
      <c r="B245" t="s">
        <v>310</v>
      </c>
      <c r="C245">
        <v>0.60899999999999999</v>
      </c>
      <c r="D245">
        <v>0.01</v>
      </c>
      <c r="E245">
        <v>7230000</v>
      </c>
      <c r="F245">
        <v>326.52999999999997</v>
      </c>
      <c r="G245">
        <v>11880000</v>
      </c>
      <c r="H245">
        <f>IFERROR(Sheet1[[#This Row],[Volume (24h)]]/Sheet1[[#This Row],[Circulating Supply]],0)</f>
        <v>42.670920692798539</v>
      </c>
      <c r="I245">
        <f>RANK(Table2[[#This Row],[Market Cap]],Table2[Market Cap],0)</f>
        <v>158</v>
      </c>
      <c r="J245" t="str">
        <f t="shared" si="3"/>
        <v>0.5-1</v>
      </c>
    </row>
    <row r="246" spans="1:10" x14ac:dyDescent="0.3">
      <c r="A246" t="s">
        <v>45</v>
      </c>
      <c r="B246" t="s">
        <v>46</v>
      </c>
      <c r="C246">
        <v>0.13880000000000001</v>
      </c>
      <c r="D246">
        <v>0.4</v>
      </c>
      <c r="E246">
        <v>251970000</v>
      </c>
      <c r="F246">
        <v>4730000</v>
      </c>
      <c r="G246">
        <v>1810000000</v>
      </c>
      <c r="H246">
        <f>IFERROR(Sheet1[[#This Row],[Volume (24h)]]/Sheet1[[#This Row],[Circulating Supply]],0)</f>
        <v>2.8131107264503882E-4</v>
      </c>
      <c r="I246">
        <f>RANK(Table2[[#This Row],[Market Cap]],Table2[Market Cap],0)</f>
        <v>36</v>
      </c>
      <c r="J246" t="str">
        <f t="shared" si="3"/>
        <v>0-0.5</v>
      </c>
    </row>
    <row r="247" spans="1:10" x14ac:dyDescent="0.3">
      <c r="A247" t="s">
        <v>210</v>
      </c>
      <c r="B247" t="s">
        <v>210</v>
      </c>
      <c r="C247">
        <v>2.2710000000000001E-2</v>
      </c>
      <c r="D247">
        <v>0.92</v>
      </c>
      <c r="E247">
        <v>15890000</v>
      </c>
      <c r="F247">
        <v>1670000</v>
      </c>
      <c r="G247">
        <v>700000000</v>
      </c>
      <c r="H247">
        <f>IFERROR(Sheet1[[#This Row],[Volume (24h)]]/Sheet1[[#This Row],[Circulating Supply]],0)</f>
        <v>2.6666666666666668E-6</v>
      </c>
      <c r="I247">
        <f>RANK(Table2[[#This Row],[Market Cap]],Table2[Market Cap],0)</f>
        <v>106</v>
      </c>
      <c r="J247" t="str">
        <f t="shared" si="3"/>
        <v>0-0.5</v>
      </c>
    </row>
    <row r="248" spans="1:10" x14ac:dyDescent="0.3">
      <c r="A248" t="s">
        <v>194</v>
      </c>
      <c r="B248" t="s">
        <v>195</v>
      </c>
      <c r="C248">
        <v>3.662E-2</v>
      </c>
      <c r="D248">
        <v>0.09</v>
      </c>
      <c r="E248">
        <v>20290000</v>
      </c>
      <c r="F248">
        <v>2330000</v>
      </c>
      <c r="G248">
        <v>554190000</v>
      </c>
      <c r="H248">
        <f>IFERROR(Sheet1[[#This Row],[Volume (24h)]]/Sheet1[[#This Row],[Circulating Supply]],0)</f>
        <v>1.5614713216957605E-2</v>
      </c>
      <c r="I248">
        <f>RANK(Table2[[#This Row],[Market Cap]],Table2[Market Cap],0)</f>
        <v>98</v>
      </c>
      <c r="J248" t="str">
        <f t="shared" si="3"/>
        <v>0-0.5</v>
      </c>
    </row>
    <row r="249" spans="1:10" x14ac:dyDescent="0.3">
      <c r="A249" t="s">
        <v>248</v>
      </c>
      <c r="B249" t="s">
        <v>249</v>
      </c>
      <c r="C249">
        <v>92.99</v>
      </c>
      <c r="D249">
        <v>0.77</v>
      </c>
      <c r="E249">
        <v>11960000</v>
      </c>
      <c r="F249">
        <v>8480000</v>
      </c>
      <c r="G249">
        <v>128690</v>
      </c>
      <c r="H249">
        <f>IFERROR(Sheet1[[#This Row],[Volume (24h)]]/Sheet1[[#This Row],[Circulating Supply]],0)</f>
        <v>1.7347942276857296E-2</v>
      </c>
      <c r="I249">
        <f>RANK(Table2[[#This Row],[Market Cap]],Table2[Market Cap],0)</f>
        <v>126</v>
      </c>
      <c r="J249" t="str">
        <f t="shared" si="3"/>
        <v>10-100</v>
      </c>
    </row>
    <row r="250" spans="1:10" x14ac:dyDescent="0.3">
      <c r="A250" t="s">
        <v>451</v>
      </c>
      <c r="B250" t="s">
        <v>452</v>
      </c>
      <c r="C250">
        <v>7.8100000000000001E-3</v>
      </c>
      <c r="D250">
        <v>0.13</v>
      </c>
      <c r="E250">
        <v>2010000</v>
      </c>
      <c r="F250">
        <v>64330</v>
      </c>
      <c r="G250">
        <v>257950000</v>
      </c>
      <c r="H250">
        <f>IFERROR(Sheet1[[#This Row],[Volume (24h)]]/Sheet1[[#This Row],[Circulating Supply]],0)</f>
        <v>5.5752660922453118E-3</v>
      </c>
      <c r="I250">
        <f>RANK(Table2[[#This Row],[Market Cap]],Table2[Market Cap],0)</f>
        <v>234</v>
      </c>
      <c r="J250" t="str">
        <f t="shared" si="3"/>
        <v>0-0.5</v>
      </c>
    </row>
    <row r="251" spans="1:10" x14ac:dyDescent="0.3">
      <c r="A251" t="s">
        <v>411</v>
      </c>
      <c r="B251" t="s">
        <v>412</v>
      </c>
      <c r="C251">
        <v>3.9560000000000003E-3</v>
      </c>
      <c r="D251">
        <v>0.01</v>
      </c>
      <c r="E251">
        <v>2620000</v>
      </c>
      <c r="F251">
        <v>4330</v>
      </c>
      <c r="G251">
        <v>664040000</v>
      </c>
      <c r="H251">
        <f>IFERROR(Sheet1[[#This Row],[Volume (24h)]]/Sheet1[[#This Row],[Circulating Supply]],0)</f>
        <v>0</v>
      </c>
      <c r="I251">
        <f>RANK(Table2[[#This Row],[Market Cap]],Table2[Market Cap],0)</f>
        <v>212</v>
      </c>
      <c r="J251" t="str">
        <f t="shared" si="3"/>
        <v>0-0.5</v>
      </c>
    </row>
    <row r="252" spans="1:10" x14ac:dyDescent="0.3">
      <c r="A252" t="s">
        <v>334</v>
      </c>
      <c r="B252" t="s">
        <v>335</v>
      </c>
      <c r="C252">
        <v>3.4360000000000002E-2</v>
      </c>
      <c r="D252">
        <v>0.01</v>
      </c>
      <c r="E252">
        <v>5670000</v>
      </c>
      <c r="F252">
        <v>9890</v>
      </c>
      <c r="G252">
        <v>165170000</v>
      </c>
      <c r="H252">
        <f>IFERROR(Sheet1[[#This Row],[Volume (24h)]]/Sheet1[[#This Row],[Circulating Supply]],0)</f>
        <v>1.9737276933245208E-7</v>
      </c>
      <c r="I252">
        <f>RANK(Table2[[#This Row],[Market Cap]],Table2[Market Cap],0)</f>
        <v>172</v>
      </c>
      <c r="J252" t="str">
        <f t="shared" si="3"/>
        <v>0-0.5</v>
      </c>
    </row>
    <row r="253" spans="1:10" x14ac:dyDescent="0.3">
      <c r="A253" t="s">
        <v>228</v>
      </c>
      <c r="B253" t="s">
        <v>229</v>
      </c>
      <c r="C253">
        <v>3.2139999999999998E-3</v>
      </c>
      <c r="D253">
        <v>0.54</v>
      </c>
      <c r="E253">
        <v>15550000</v>
      </c>
      <c r="F253">
        <v>1770000</v>
      </c>
      <c r="G253">
        <v>4830000000</v>
      </c>
      <c r="H253">
        <f>IFERROR(Sheet1[[#This Row],[Volume (24h)]]/Sheet1[[#This Row],[Circulating Supply]],0)</f>
        <v>0</v>
      </c>
      <c r="I253">
        <f>RANK(Table2[[#This Row],[Market Cap]],Table2[Market Cap],0)</f>
        <v>116</v>
      </c>
      <c r="J253" t="str">
        <f t="shared" si="3"/>
        <v>0-0.5</v>
      </c>
    </row>
    <row r="254" spans="1:10" x14ac:dyDescent="0.3">
      <c r="A254" t="s">
        <v>431</v>
      </c>
      <c r="B254" t="s">
        <v>432</v>
      </c>
      <c r="C254">
        <v>0.25609999999999999</v>
      </c>
      <c r="D254">
        <v>0.04</v>
      </c>
      <c r="E254">
        <v>2540000</v>
      </c>
      <c r="F254">
        <v>109700</v>
      </c>
      <c r="G254">
        <v>9930000</v>
      </c>
      <c r="H254">
        <f>IFERROR(Sheet1[[#This Row],[Volume (24h)]]/Sheet1[[#This Row],[Circulating Supply]],0)</f>
        <v>0</v>
      </c>
      <c r="I254">
        <f>RANK(Table2[[#This Row],[Market Cap]],Table2[Market Cap],0)</f>
        <v>222</v>
      </c>
      <c r="J254" t="str">
        <f t="shared" si="3"/>
        <v>0-0.5</v>
      </c>
    </row>
    <row r="255" spans="1:10" x14ac:dyDescent="0.3">
      <c r="A255" t="s">
        <v>146</v>
      </c>
      <c r="B255" t="s">
        <v>147</v>
      </c>
      <c r="C255">
        <v>13.52</v>
      </c>
      <c r="D255">
        <v>0.18</v>
      </c>
      <c r="E255">
        <v>37840000</v>
      </c>
      <c r="F255">
        <v>7750000</v>
      </c>
      <c r="G255">
        <v>2790000</v>
      </c>
      <c r="H255">
        <f>IFERROR(Sheet1[[#This Row],[Volume (24h)]]/Sheet1[[#This Row],[Circulating Supply]],0)</f>
        <v>1.2256673511293635E-2</v>
      </c>
      <c r="I255">
        <f>RANK(Table2[[#This Row],[Market Cap]],Table2[Market Cap],0)</f>
        <v>73</v>
      </c>
      <c r="J255" t="str">
        <f t="shared" si="3"/>
        <v>10-100</v>
      </c>
    </row>
    <row r="256" spans="1:10" x14ac:dyDescent="0.3">
      <c r="A256" t="s">
        <v>495</v>
      </c>
      <c r="B256" t="s">
        <v>496</v>
      </c>
      <c r="C256">
        <v>9.2689999999999995E-3</v>
      </c>
      <c r="D256">
        <v>0.21</v>
      </c>
      <c r="E256">
        <v>1290000</v>
      </c>
      <c r="F256">
        <v>115470</v>
      </c>
      <c r="G256">
        <v>139770000</v>
      </c>
      <c r="H256">
        <f>IFERROR(Sheet1[[#This Row],[Volume (24h)]]/Sheet1[[#This Row],[Circulating Supply]],0)</f>
        <v>1.20398406374502E-5</v>
      </c>
      <c r="I256">
        <f>RANK(Table2[[#This Row],[Market Cap]],Table2[Market Cap],0)</f>
        <v>257</v>
      </c>
      <c r="J256" t="str">
        <f t="shared" si="3"/>
        <v>0-0.5</v>
      </c>
    </row>
    <row r="257" spans="1:10" x14ac:dyDescent="0.3">
      <c r="A257" t="s">
        <v>262</v>
      </c>
      <c r="B257" t="s">
        <v>263</v>
      </c>
      <c r="C257">
        <v>310.04000000000002</v>
      </c>
      <c r="D257">
        <v>0.62</v>
      </c>
      <c r="E257">
        <v>11760000</v>
      </c>
      <c r="F257">
        <v>9000000</v>
      </c>
      <c r="G257">
        <v>37930</v>
      </c>
      <c r="H257">
        <f>IFERROR(Sheet1[[#This Row],[Volume (24h)]]/Sheet1[[#This Row],[Circulating Supply]],0)</f>
        <v>18.418604651162791</v>
      </c>
      <c r="I257">
        <f>RANK(Table2[[#This Row],[Market Cap]],Table2[Market Cap],0)</f>
        <v>134</v>
      </c>
      <c r="J257" t="str">
        <f t="shared" si="3"/>
        <v>100-10000</v>
      </c>
    </row>
    <row r="258" spans="1:10" x14ac:dyDescent="0.3">
      <c r="A258" t="s">
        <v>13</v>
      </c>
      <c r="B258" t="s">
        <v>14</v>
      </c>
      <c r="C258">
        <v>0.999</v>
      </c>
      <c r="D258">
        <v>0.01</v>
      </c>
      <c r="E258">
        <v>183630000000</v>
      </c>
      <c r="F258">
        <v>56830000000</v>
      </c>
      <c r="G258">
        <v>183810000000</v>
      </c>
      <c r="H258">
        <f>IFERROR(Sheet1[[#This Row],[Volume (24h)]]/Sheet1[[#This Row],[Circulating Supply]],0)</f>
        <v>1.4865333313237577E-4</v>
      </c>
      <c r="I258">
        <f>RANK(Table2[[#This Row],[Market Cap]],Table2[Market Cap],0)</f>
        <v>3</v>
      </c>
      <c r="J258" t="str">
        <f t="shared" ref="J258:J301" si="4">IF(C258&lt;=0.5,"0-0.5",
IF(C258&lt;=1,"0.5-1",
IF(C258&lt;=2,"1-2",
IF(C258&lt;=10,"2-10",
IF(C258&lt;=100,"10-100",
IF(C258&lt;=10000,"100-10000",
"10000+"))))))</f>
        <v>0.5-1</v>
      </c>
    </row>
    <row r="259" spans="1:10" x14ac:dyDescent="0.3">
      <c r="A259" t="s">
        <v>57</v>
      </c>
      <c r="B259" t="s">
        <v>58</v>
      </c>
      <c r="C259">
        <v>0.20019999999999999</v>
      </c>
      <c r="D259">
        <v>0.34</v>
      </c>
      <c r="E259">
        <v>218720000</v>
      </c>
      <c r="F259">
        <v>4940000</v>
      </c>
      <c r="G259">
        <v>1090000000</v>
      </c>
      <c r="H259">
        <f>IFERROR(Sheet1[[#This Row],[Volume (24h)]]/Sheet1[[#This Row],[Circulating Supply]],0)</f>
        <v>8.2614294913071476E-4</v>
      </c>
      <c r="I259">
        <f>RANK(Table2[[#This Row],[Market Cap]],Table2[Market Cap],0)</f>
        <v>42</v>
      </c>
      <c r="J259" t="str">
        <f t="shared" si="4"/>
        <v>0-0.5</v>
      </c>
    </row>
    <row r="260" spans="1:10" x14ac:dyDescent="0.3">
      <c r="A260" t="s">
        <v>508</v>
      </c>
      <c r="B260" t="s">
        <v>509</v>
      </c>
      <c r="C260">
        <v>1.2780000000000001E-3</v>
      </c>
      <c r="D260">
        <v>1.1499999999999999</v>
      </c>
      <c r="E260">
        <v>1270000</v>
      </c>
      <c r="F260">
        <v>305210</v>
      </c>
      <c r="G260">
        <v>999820000</v>
      </c>
      <c r="H260">
        <f>IFERROR(Sheet1[[#This Row],[Volume (24h)]]/Sheet1[[#This Row],[Circulating Supply]],0)</f>
        <v>586.66666666666663</v>
      </c>
      <c r="I260">
        <f>RANK(Table2[[#This Row],[Market Cap]],Table2[Market Cap],0)</f>
        <v>262</v>
      </c>
      <c r="J260" t="str">
        <f t="shared" si="4"/>
        <v>0-0.5</v>
      </c>
    </row>
    <row r="261" spans="1:10" x14ac:dyDescent="0.3">
      <c r="A261" t="s">
        <v>116</v>
      </c>
      <c r="B261" t="s">
        <v>117</v>
      </c>
      <c r="C261">
        <v>7.2519999999999998E-3</v>
      </c>
      <c r="D261">
        <v>0.09</v>
      </c>
      <c r="E261">
        <v>53790000</v>
      </c>
      <c r="F261">
        <v>582150</v>
      </c>
      <c r="G261">
        <v>7410000000</v>
      </c>
      <c r="H261">
        <f>IFERROR(Sheet1[[#This Row],[Volume (24h)]]/Sheet1[[#This Row],[Circulating Supply]],0)</f>
        <v>0</v>
      </c>
      <c r="I261">
        <f>RANK(Table2[[#This Row],[Market Cap]],Table2[Market Cap],0)</f>
        <v>56</v>
      </c>
      <c r="J261" t="str">
        <f t="shared" si="4"/>
        <v>0-0.5</v>
      </c>
    </row>
    <row r="262" spans="1:10" x14ac:dyDescent="0.3">
      <c r="A262" t="s">
        <v>128</v>
      </c>
      <c r="B262" t="s">
        <v>129</v>
      </c>
      <c r="C262">
        <v>3.4810000000000002E-3</v>
      </c>
      <c r="D262">
        <v>0.81</v>
      </c>
      <c r="E262">
        <v>38830000</v>
      </c>
      <c r="F262">
        <v>8600000</v>
      </c>
      <c r="G262">
        <v>11150000000</v>
      </c>
      <c r="H262">
        <f>IFERROR(Sheet1[[#This Row],[Volume (24h)]]/Sheet1[[#This Row],[Circulating Supply]],0)</f>
        <v>0</v>
      </c>
      <c r="I262">
        <f>RANK(Table2[[#This Row],[Market Cap]],Table2[Market Cap],0)</f>
        <v>64</v>
      </c>
      <c r="J262" t="str">
        <f t="shared" si="4"/>
        <v>0-0.5</v>
      </c>
    </row>
    <row r="263" spans="1:10" x14ac:dyDescent="0.3">
      <c r="A263" t="s">
        <v>204</v>
      </c>
      <c r="B263" t="s">
        <v>205</v>
      </c>
      <c r="C263">
        <v>5.7889999999999999E-3</v>
      </c>
      <c r="D263">
        <v>0.1</v>
      </c>
      <c r="E263">
        <v>20060000</v>
      </c>
      <c r="F263">
        <v>10970</v>
      </c>
      <c r="G263">
        <v>3460000000</v>
      </c>
      <c r="H263">
        <f>IFERROR(Sheet1[[#This Row],[Volume (24h)]]/Sheet1[[#This Row],[Circulating Supply]],0)</f>
        <v>6.9931662870159452E-3</v>
      </c>
      <c r="I263">
        <f>RANK(Table2[[#This Row],[Market Cap]],Table2[Market Cap],0)</f>
        <v>103</v>
      </c>
      <c r="J263" t="str">
        <f t="shared" si="4"/>
        <v>0-0.5</v>
      </c>
    </row>
    <row r="264" spans="1:10" x14ac:dyDescent="0.3">
      <c r="A264" t="s">
        <v>502</v>
      </c>
      <c r="B264" t="s">
        <v>503</v>
      </c>
      <c r="C264">
        <v>9.708E-2</v>
      </c>
      <c r="D264">
        <v>0.19</v>
      </c>
      <c r="E264">
        <v>1270000</v>
      </c>
      <c r="F264">
        <v>92100</v>
      </c>
      <c r="G264">
        <v>13170000</v>
      </c>
      <c r="H264">
        <f>IFERROR(Sheet1[[#This Row],[Volume (24h)]]/Sheet1[[#This Row],[Circulating Supply]],0)</f>
        <v>5.7277504037946472E-5</v>
      </c>
      <c r="I264">
        <f>RANK(Table2[[#This Row],[Market Cap]],Table2[Market Cap],0)</f>
        <v>262</v>
      </c>
      <c r="J264" t="str">
        <f t="shared" si="4"/>
        <v>0-0.5</v>
      </c>
    </row>
    <row r="265" spans="1:10" x14ac:dyDescent="0.3">
      <c r="A265" t="s">
        <v>475</v>
      </c>
      <c r="B265" t="s">
        <v>476</v>
      </c>
      <c r="C265">
        <v>6.6140000000000004E-2</v>
      </c>
      <c r="D265">
        <v>0.71</v>
      </c>
      <c r="E265">
        <v>1590000</v>
      </c>
      <c r="F265">
        <v>375690</v>
      </c>
      <c r="G265">
        <v>24060000</v>
      </c>
      <c r="H265">
        <f>IFERROR(Sheet1[[#This Row],[Volume (24h)]]/Sheet1[[#This Row],[Circulating Supply]],0)</f>
        <v>7.5257575757575756E-4</v>
      </c>
      <c r="I265">
        <f>RANK(Table2[[#This Row],[Market Cap]],Table2[Market Cap],0)</f>
        <v>246</v>
      </c>
      <c r="J265" t="str">
        <f t="shared" si="4"/>
        <v>0-0.5</v>
      </c>
    </row>
    <row r="266" spans="1:10" x14ac:dyDescent="0.3">
      <c r="A266" t="s">
        <v>298</v>
      </c>
      <c r="B266" t="s">
        <v>299</v>
      </c>
      <c r="C266">
        <v>0.51459999999999995</v>
      </c>
      <c r="D266">
        <v>0.21</v>
      </c>
      <c r="E266">
        <v>7380000</v>
      </c>
      <c r="F266">
        <v>1530000</v>
      </c>
      <c r="G266">
        <v>14340000</v>
      </c>
      <c r="H266">
        <f>IFERROR(Sheet1[[#This Row],[Volume (24h)]]/Sheet1[[#This Row],[Circulating Supply]],0)</f>
        <v>3.0526494769058429E-4</v>
      </c>
      <c r="I266">
        <f>RANK(Table2[[#This Row],[Market Cap]],Table2[Market Cap],0)</f>
        <v>152</v>
      </c>
      <c r="J266" t="str">
        <f t="shared" si="4"/>
        <v>0.5-1</v>
      </c>
    </row>
    <row r="267" spans="1:10" x14ac:dyDescent="0.3">
      <c r="A267" t="s">
        <v>330</v>
      </c>
      <c r="B267" t="s">
        <v>331</v>
      </c>
      <c r="C267">
        <v>9.3000000000000007</v>
      </c>
      <c r="D267">
        <v>0.08</v>
      </c>
      <c r="E267">
        <v>5680000</v>
      </c>
      <c r="F267">
        <v>19250000</v>
      </c>
      <c r="G267">
        <v>610760</v>
      </c>
      <c r="H267">
        <f>IFERROR(Sheet1[[#This Row],[Volume (24h)]]/Sheet1[[#This Row],[Circulating Supply]],0)</f>
        <v>1.7367542430144284E-4</v>
      </c>
      <c r="I267">
        <f>RANK(Table2[[#This Row],[Market Cap]],Table2[Market Cap],0)</f>
        <v>170</v>
      </c>
      <c r="J267" t="str">
        <f t="shared" si="4"/>
        <v>2-10</v>
      </c>
    </row>
    <row r="268" spans="1:10" x14ac:dyDescent="0.3">
      <c r="A268" t="s">
        <v>344</v>
      </c>
      <c r="B268" t="s">
        <v>345</v>
      </c>
      <c r="C268">
        <v>3.5970000000000002E-2</v>
      </c>
      <c r="D268">
        <v>0.56999999999999995</v>
      </c>
      <c r="E268">
        <v>5610000</v>
      </c>
      <c r="F268">
        <v>3830000</v>
      </c>
      <c r="G268">
        <v>156120000</v>
      </c>
      <c r="H268">
        <f>IFERROR(Sheet1[[#This Row],[Volume (24h)]]/Sheet1[[#This Row],[Circulating Supply]],0)</f>
        <v>0</v>
      </c>
      <c r="I268">
        <f>RANK(Table2[[#This Row],[Market Cap]],Table2[Market Cap],0)</f>
        <v>177</v>
      </c>
      <c r="J268" t="str">
        <f t="shared" si="4"/>
        <v>0-0.5</v>
      </c>
    </row>
    <row r="269" spans="1:10" x14ac:dyDescent="0.3">
      <c r="A269" t="s">
        <v>20</v>
      </c>
      <c r="B269" t="s">
        <v>21</v>
      </c>
      <c r="C269">
        <v>0.32579999999999998</v>
      </c>
      <c r="D269">
        <v>0.03</v>
      </c>
      <c r="E269">
        <v>30910000000</v>
      </c>
      <c r="F269">
        <v>473310000</v>
      </c>
      <c r="G269">
        <v>94880000000</v>
      </c>
      <c r="H269">
        <f>IFERROR(Sheet1[[#This Row],[Volume (24h)]]/Sheet1[[#This Row],[Circulating Supply]],0)</f>
        <v>0</v>
      </c>
      <c r="I269">
        <f>RANK(Table2[[#This Row],[Market Cap]],Table2[Market Cap],0)</f>
        <v>8</v>
      </c>
      <c r="J269" t="str">
        <f t="shared" si="4"/>
        <v>0-0.5</v>
      </c>
    </row>
    <row r="270" spans="1:10" x14ac:dyDescent="0.3">
      <c r="A270" t="s">
        <v>439</v>
      </c>
      <c r="B270" t="s">
        <v>440</v>
      </c>
      <c r="C270">
        <v>404.09</v>
      </c>
      <c r="D270">
        <v>0.04</v>
      </c>
      <c r="E270">
        <v>2040000</v>
      </c>
      <c r="F270">
        <v>171250</v>
      </c>
      <c r="G270">
        <v>5050</v>
      </c>
      <c r="H270">
        <f>IFERROR(Sheet1[[#This Row],[Volume (24h)]]/Sheet1[[#This Row],[Circulating Supply]],0)</f>
        <v>1.4244679462070765E-4</v>
      </c>
      <c r="I270">
        <f>RANK(Table2[[#This Row],[Market Cap]],Table2[Market Cap],0)</f>
        <v>226</v>
      </c>
      <c r="J270" t="str">
        <f t="shared" si="4"/>
        <v>100-10000</v>
      </c>
    </row>
    <row r="271" spans="1:10" x14ac:dyDescent="0.3">
      <c r="A271" t="s">
        <v>108</v>
      </c>
      <c r="B271" t="s">
        <v>109</v>
      </c>
      <c r="C271">
        <v>7.9080000000000003E-4</v>
      </c>
      <c r="D271">
        <v>0.14000000000000001</v>
      </c>
      <c r="E271">
        <v>54570000</v>
      </c>
      <c r="F271">
        <v>7470000</v>
      </c>
      <c r="G271">
        <v>68990000000</v>
      </c>
      <c r="H271">
        <f>IFERROR(Sheet1[[#This Row],[Volume (24h)]]/Sheet1[[#This Row],[Circulating Supply]],0)</f>
        <v>5.0363247863247866E-6</v>
      </c>
      <c r="I271">
        <f>RANK(Table2[[#This Row],[Market Cap]],Table2[Market Cap],0)</f>
        <v>53</v>
      </c>
      <c r="J271" t="str">
        <f t="shared" si="4"/>
        <v>0-0.5</v>
      </c>
    </row>
    <row r="272" spans="1:10" x14ac:dyDescent="0.3">
      <c r="A272" t="s">
        <v>532</v>
      </c>
      <c r="B272" t="s">
        <v>533</v>
      </c>
      <c r="C272">
        <v>22.49</v>
      </c>
      <c r="D272">
        <v>16.46</v>
      </c>
      <c r="E272">
        <v>1040000</v>
      </c>
      <c r="F272">
        <v>2020</v>
      </c>
      <c r="G272">
        <v>46640</v>
      </c>
      <c r="H272">
        <f>IFERROR(Sheet1[[#This Row],[Volume (24h)]]/Sheet1[[#This Row],[Circulating Supply]],0)</f>
        <v>3.8213014743263859E-10</v>
      </c>
      <c r="I272">
        <f>RANK(Table2[[#This Row],[Market Cap]],Table2[Market Cap],0)</f>
        <v>278</v>
      </c>
      <c r="J272" t="str">
        <f t="shared" si="4"/>
        <v>10-100</v>
      </c>
    </row>
    <row r="273" spans="1:10" x14ac:dyDescent="0.3">
      <c r="A273" t="s">
        <v>86</v>
      </c>
      <c r="B273" t="s">
        <v>87</v>
      </c>
      <c r="C273">
        <v>0.15809999999999999</v>
      </c>
      <c r="D273">
        <v>0.16</v>
      </c>
      <c r="E273">
        <v>395370000</v>
      </c>
      <c r="F273">
        <v>14190000</v>
      </c>
      <c r="G273">
        <v>2500000000</v>
      </c>
      <c r="H273">
        <f>IFERROR(Sheet1[[#This Row],[Volume (24h)]]/Sheet1[[#This Row],[Circulating Supply]],0)</f>
        <v>5.559913475480758E-11</v>
      </c>
      <c r="I273">
        <f>RANK(Table2[[#This Row],[Market Cap]],Table2[Market Cap],0)</f>
        <v>28</v>
      </c>
      <c r="J273" t="str">
        <f t="shared" si="4"/>
        <v>0-0.5</v>
      </c>
    </row>
    <row r="274" spans="1:10" x14ac:dyDescent="0.3">
      <c r="A274" t="s">
        <v>26</v>
      </c>
      <c r="B274" t="s">
        <v>27</v>
      </c>
      <c r="C274">
        <v>9.75</v>
      </c>
      <c r="D274">
        <v>0</v>
      </c>
      <c r="E274">
        <v>8970000000</v>
      </c>
      <c r="F274">
        <v>515230</v>
      </c>
      <c r="G274">
        <v>920070000</v>
      </c>
      <c r="H274">
        <f>IFERROR(Sheet1[[#This Row],[Volume (24h)]]/Sheet1[[#This Row],[Circulating Supply]],0)</f>
        <v>2.0268588770864945E-2</v>
      </c>
      <c r="I274">
        <f>RANK(Table2[[#This Row],[Market Cap]],Table2[Market Cap],0)</f>
        <v>11</v>
      </c>
      <c r="J274" t="str">
        <f t="shared" si="4"/>
        <v>2-10</v>
      </c>
    </row>
    <row r="275" spans="1:10" x14ac:dyDescent="0.3">
      <c r="A275" t="s">
        <v>84</v>
      </c>
      <c r="B275" t="s">
        <v>85</v>
      </c>
      <c r="C275">
        <v>0.99950000000000006</v>
      </c>
      <c r="D275">
        <v>0.01</v>
      </c>
      <c r="E275">
        <v>501100000</v>
      </c>
      <c r="F275">
        <v>5610</v>
      </c>
      <c r="G275">
        <v>501350000</v>
      </c>
      <c r="H275">
        <f>IFERROR(Sheet1[[#This Row],[Volume (24h)]]/Sheet1[[#This Row],[Circulating Supply]],0)</f>
        <v>2.1467204301075268E-4</v>
      </c>
      <c r="I275">
        <f>RANK(Table2[[#This Row],[Market Cap]],Table2[Market Cap],0)</f>
        <v>27</v>
      </c>
      <c r="J275" t="str">
        <f t="shared" si="4"/>
        <v>0.5-1</v>
      </c>
    </row>
    <row r="276" spans="1:10" x14ac:dyDescent="0.3">
      <c r="A276" t="s">
        <v>250</v>
      </c>
      <c r="B276" t="s">
        <v>250</v>
      </c>
      <c r="C276">
        <v>0.99690000000000001</v>
      </c>
      <c r="D276">
        <v>0.24</v>
      </c>
      <c r="E276">
        <v>11960000</v>
      </c>
      <c r="F276">
        <v>7690</v>
      </c>
      <c r="G276">
        <v>12000000</v>
      </c>
      <c r="H276">
        <f>IFERROR(Sheet1[[#This Row],[Volume (24h)]]/Sheet1[[#This Row],[Circulating Supply]],0)</f>
        <v>3.7865978008013854E-11</v>
      </c>
      <c r="I276">
        <f>RANK(Table2[[#This Row],[Market Cap]],Table2[Market Cap],0)</f>
        <v>126</v>
      </c>
      <c r="J276" t="str">
        <f t="shared" si="4"/>
        <v>0.5-1</v>
      </c>
    </row>
    <row r="277" spans="1:10" x14ac:dyDescent="0.3">
      <c r="A277" t="s">
        <v>16</v>
      </c>
      <c r="B277" t="s">
        <v>16</v>
      </c>
      <c r="C277">
        <v>0.99980000000000002</v>
      </c>
      <c r="D277">
        <v>0.01</v>
      </c>
      <c r="E277">
        <v>71920000000</v>
      </c>
      <c r="F277">
        <v>9790000000</v>
      </c>
      <c r="G277">
        <v>71940000000</v>
      </c>
      <c r="H277">
        <f>IFERROR(Sheet1[[#This Row],[Volume (24h)]]/Sheet1[[#This Row],[Circulating Supply]],0)</f>
        <v>2.9671239356669819E-7</v>
      </c>
      <c r="I277">
        <f>RANK(Table2[[#This Row],[Market Cap]],Table2[Market Cap],0)</f>
        <v>5</v>
      </c>
      <c r="J277" t="str">
        <f t="shared" si="4"/>
        <v>0.5-1</v>
      </c>
    </row>
    <row r="278" spans="1:10" x14ac:dyDescent="0.3">
      <c r="A278" t="s">
        <v>72</v>
      </c>
      <c r="B278" t="s">
        <v>72</v>
      </c>
      <c r="C278">
        <v>1</v>
      </c>
      <c r="D278">
        <v>0.01</v>
      </c>
      <c r="E278">
        <v>1110000000</v>
      </c>
      <c r="F278">
        <v>14040000</v>
      </c>
      <c r="G278">
        <v>1110000000</v>
      </c>
      <c r="H278">
        <f>IFERROR(Sheet1[[#This Row],[Volume (24h)]]/Sheet1[[#This Row],[Circulating Supply]],0)</f>
        <v>2.4704269361987052E-4</v>
      </c>
      <c r="I278">
        <f>RANK(Table2[[#This Row],[Market Cap]],Table2[Market Cap],0)</f>
        <v>20</v>
      </c>
      <c r="J278" t="str">
        <f t="shared" si="4"/>
        <v>0.5-1</v>
      </c>
    </row>
    <row r="279" spans="1:10" x14ac:dyDescent="0.3">
      <c r="A279" t="s">
        <v>156</v>
      </c>
      <c r="B279" t="s">
        <v>156</v>
      </c>
      <c r="C279">
        <v>0.99929999999999997</v>
      </c>
      <c r="D279">
        <v>0</v>
      </c>
      <c r="E279">
        <v>28580000</v>
      </c>
      <c r="F279">
        <v>0</v>
      </c>
      <c r="G279">
        <v>28600000</v>
      </c>
      <c r="H279">
        <f>IFERROR(Sheet1[[#This Row],[Volume (24h)]]/Sheet1[[#This Row],[Circulating Supply]],0)</f>
        <v>4.3310463121783875E-2</v>
      </c>
      <c r="I279">
        <f>RANK(Table2[[#This Row],[Market Cap]],Table2[Market Cap],0)</f>
        <v>77</v>
      </c>
      <c r="J279" t="str">
        <f t="shared" si="4"/>
        <v>0.5-1</v>
      </c>
    </row>
    <row r="280" spans="1:10" x14ac:dyDescent="0.3">
      <c r="A280" t="s">
        <v>80</v>
      </c>
      <c r="B280" t="s">
        <v>81</v>
      </c>
      <c r="C280">
        <v>0.99929999999999997</v>
      </c>
      <c r="D280">
        <v>0</v>
      </c>
      <c r="E280">
        <v>556020000</v>
      </c>
      <c r="F280">
        <v>36490</v>
      </c>
      <c r="G280">
        <v>556380000</v>
      </c>
      <c r="H280">
        <f>IFERROR(Sheet1[[#This Row],[Volume (24h)]]/Sheet1[[#This Row],[Circulating Supply]],0)</f>
        <v>3.319496855345912E-6</v>
      </c>
      <c r="I280">
        <f>RANK(Table2[[#This Row],[Market Cap]],Table2[Market Cap],0)</f>
        <v>25</v>
      </c>
      <c r="J280" t="str">
        <f t="shared" si="4"/>
        <v>0.5-1</v>
      </c>
    </row>
    <row r="281" spans="1:10" x14ac:dyDescent="0.3">
      <c r="A281" t="s">
        <v>348</v>
      </c>
      <c r="B281" t="s">
        <v>349</v>
      </c>
      <c r="C281">
        <v>7.9419999999999994E-3</v>
      </c>
      <c r="D281">
        <v>0.01</v>
      </c>
      <c r="E281">
        <v>5590000</v>
      </c>
      <c r="F281">
        <v>5090000</v>
      </c>
      <c r="G281">
        <v>704060000</v>
      </c>
      <c r="H281">
        <f>IFERROR(Sheet1[[#This Row],[Volume (24h)]]/Sheet1[[#This Row],[Circulating Supply]],0)</f>
        <v>0</v>
      </c>
      <c r="I281">
        <f>RANK(Table2[[#This Row],[Market Cap]],Table2[Market Cap],0)</f>
        <v>179</v>
      </c>
      <c r="J281" t="str">
        <f t="shared" si="4"/>
        <v>0-0.5</v>
      </c>
    </row>
    <row r="282" spans="1:10" x14ac:dyDescent="0.3">
      <c r="A282" t="s">
        <v>427</v>
      </c>
      <c r="B282" t="s">
        <v>428</v>
      </c>
      <c r="C282">
        <v>4.2739999999999998E-4</v>
      </c>
      <c r="D282">
        <v>0.26</v>
      </c>
      <c r="E282">
        <v>2540000</v>
      </c>
      <c r="F282">
        <v>13730</v>
      </c>
      <c r="G282">
        <v>5960000000</v>
      </c>
      <c r="H282">
        <f>IFERROR(Sheet1[[#This Row],[Volume (24h)]]/Sheet1[[#This Row],[Circulating Supply]],0)</f>
        <v>385.37549407114625</v>
      </c>
      <c r="I282">
        <f>RANK(Table2[[#This Row],[Market Cap]],Table2[Market Cap],0)</f>
        <v>222</v>
      </c>
      <c r="J282" t="str">
        <f t="shared" si="4"/>
        <v>0-0.5</v>
      </c>
    </row>
    <row r="283" spans="1:10" x14ac:dyDescent="0.3">
      <c r="A283" t="s">
        <v>219</v>
      </c>
      <c r="B283" t="s">
        <v>220</v>
      </c>
      <c r="C283">
        <v>1.7270000000000001E-2</v>
      </c>
      <c r="D283">
        <v>0.53</v>
      </c>
      <c r="E283">
        <v>15800000</v>
      </c>
      <c r="F283">
        <v>916720</v>
      </c>
      <c r="G283">
        <v>915200000</v>
      </c>
      <c r="H283">
        <f>IFERROR(Sheet1[[#This Row],[Volume (24h)]]/Sheet1[[#This Row],[Circulating Supply]],0)</f>
        <v>9.755401839834558E-8</v>
      </c>
      <c r="I283">
        <f>RANK(Table2[[#This Row],[Market Cap]],Table2[Market Cap],0)</f>
        <v>111</v>
      </c>
      <c r="J283" t="str">
        <f t="shared" si="4"/>
        <v>0-0.5</v>
      </c>
    </row>
    <row r="284" spans="1:10" x14ac:dyDescent="0.3">
      <c r="A284" t="s">
        <v>313</v>
      </c>
      <c r="B284" t="s">
        <v>314</v>
      </c>
      <c r="C284">
        <v>2.6179999999999998E-2</v>
      </c>
      <c r="D284">
        <v>0</v>
      </c>
      <c r="E284">
        <v>7190000</v>
      </c>
      <c r="F284">
        <v>0</v>
      </c>
      <c r="G284">
        <v>274530000</v>
      </c>
      <c r="H284">
        <f>IFERROR(Sheet1[[#This Row],[Volume (24h)]]/Sheet1[[#This Row],[Circulating Supply]],0)</f>
        <v>7.739596563690732E-4</v>
      </c>
      <c r="I284">
        <f>RANK(Table2[[#This Row],[Market Cap]],Table2[Market Cap],0)</f>
        <v>160</v>
      </c>
      <c r="J284" t="str">
        <f t="shared" si="4"/>
        <v>0-0.5</v>
      </c>
    </row>
    <row r="285" spans="1:10" x14ac:dyDescent="0.3">
      <c r="A285" t="s">
        <v>463</v>
      </c>
      <c r="B285" t="s">
        <v>464</v>
      </c>
      <c r="C285">
        <v>1.6209999999999999E-2</v>
      </c>
      <c r="D285">
        <v>2.2599999999999998</v>
      </c>
      <c r="E285">
        <v>1620000</v>
      </c>
      <c r="F285">
        <v>335.35</v>
      </c>
      <c r="G285">
        <v>100000000</v>
      </c>
      <c r="H285">
        <f>IFERROR(Sheet1[[#This Row],[Volume (24h)]]/Sheet1[[#This Row],[Circulating Supply]],0)</f>
        <v>2.3444691318838279E-4</v>
      </c>
      <c r="I285">
        <f>RANK(Table2[[#This Row],[Market Cap]],Table2[Market Cap],0)</f>
        <v>241</v>
      </c>
      <c r="J285" t="str">
        <f t="shared" si="4"/>
        <v>0-0.5</v>
      </c>
    </row>
    <row r="286" spans="1:10" x14ac:dyDescent="0.3">
      <c r="A286" t="s">
        <v>354</v>
      </c>
      <c r="B286" t="s">
        <v>355</v>
      </c>
      <c r="C286">
        <v>3.4180000000000002E-2</v>
      </c>
      <c r="D286">
        <v>0.32</v>
      </c>
      <c r="E286">
        <v>4350000</v>
      </c>
      <c r="F286">
        <v>1850000</v>
      </c>
      <c r="G286">
        <v>127500000</v>
      </c>
      <c r="H286">
        <f>IFERROR(Sheet1[[#This Row],[Volume (24h)]]/Sheet1[[#This Row],[Circulating Supply]],0)</f>
        <v>6.3585284280936452E-3</v>
      </c>
      <c r="I286">
        <f>RANK(Table2[[#This Row],[Market Cap]],Table2[Market Cap],0)</f>
        <v>182</v>
      </c>
      <c r="J286" t="str">
        <f t="shared" si="4"/>
        <v>0-0.5</v>
      </c>
    </row>
    <row r="287" spans="1:10" x14ac:dyDescent="0.3">
      <c r="A287" t="s">
        <v>382</v>
      </c>
      <c r="B287" t="s">
        <v>383</v>
      </c>
      <c r="C287">
        <v>0.22939999999999999</v>
      </c>
      <c r="D287">
        <v>0.11</v>
      </c>
      <c r="E287">
        <v>3310000</v>
      </c>
      <c r="F287">
        <v>3810</v>
      </c>
      <c r="G287">
        <v>14440000</v>
      </c>
      <c r="H287">
        <f>IFERROR(Sheet1[[#This Row],[Volume (24h)]]/Sheet1[[#This Row],[Circulating Supply]],0)</f>
        <v>0</v>
      </c>
      <c r="I287">
        <f>RANK(Table2[[#This Row],[Market Cap]],Table2[Market Cap],0)</f>
        <v>197</v>
      </c>
      <c r="J287" t="str">
        <f t="shared" si="4"/>
        <v>0-0.5</v>
      </c>
    </row>
    <row r="288" spans="1:10" x14ac:dyDescent="0.3">
      <c r="A288" t="s">
        <v>422</v>
      </c>
      <c r="B288" t="s">
        <v>422</v>
      </c>
      <c r="C288">
        <v>7.4700000000000001E-3</v>
      </c>
      <c r="D288">
        <v>0.05</v>
      </c>
      <c r="E288">
        <v>2570000</v>
      </c>
      <c r="F288">
        <v>430670</v>
      </c>
      <c r="G288">
        <v>344850000</v>
      </c>
      <c r="H288">
        <f>IFERROR(Sheet1[[#This Row],[Volume (24h)]]/Sheet1[[#This Row],[Circulating Supply]],0)</f>
        <v>0</v>
      </c>
      <c r="I288">
        <f>RANK(Table2[[#This Row],[Market Cap]],Table2[Market Cap],0)</f>
        <v>218</v>
      </c>
      <c r="J288" t="str">
        <f t="shared" si="4"/>
        <v>0-0.5</v>
      </c>
    </row>
    <row r="289" spans="1:10" x14ac:dyDescent="0.3">
      <c r="A289" t="s">
        <v>221</v>
      </c>
      <c r="B289" t="s">
        <v>222</v>
      </c>
      <c r="C289">
        <v>3.6360000000000003E-2</v>
      </c>
      <c r="D289">
        <v>0.05</v>
      </c>
      <c r="E289">
        <v>15790000</v>
      </c>
      <c r="F289">
        <v>6260000</v>
      </c>
      <c r="G289">
        <v>434300000</v>
      </c>
      <c r="H289">
        <f>IFERROR(Sheet1[[#This Row],[Volume (24h)]]/Sheet1[[#This Row],[Circulating Supply]],0)</f>
        <v>2.1309963099630998E-6</v>
      </c>
      <c r="I289">
        <f>RANK(Table2[[#This Row],[Market Cap]],Table2[Market Cap],0)</f>
        <v>112</v>
      </c>
      <c r="J289" t="str">
        <f t="shared" si="4"/>
        <v>0-0.5</v>
      </c>
    </row>
    <row r="290" spans="1:10" x14ac:dyDescent="0.3">
      <c r="A290" t="s">
        <v>491</v>
      </c>
      <c r="B290" t="s">
        <v>492</v>
      </c>
      <c r="C290">
        <v>86.51</v>
      </c>
      <c r="D290">
        <v>0.61</v>
      </c>
      <c r="E290">
        <v>1300000</v>
      </c>
      <c r="F290">
        <v>277200</v>
      </c>
      <c r="G290">
        <v>15050</v>
      </c>
      <c r="H290">
        <f>IFERROR(Sheet1[[#This Row],[Volume (24h)]]/Sheet1[[#This Row],[Circulating Supply]],0)</f>
        <v>79.236977256052825</v>
      </c>
      <c r="I290">
        <f>RANK(Table2[[#This Row],[Market Cap]],Table2[Market Cap],0)</f>
        <v>256</v>
      </c>
      <c r="J290" t="str">
        <f t="shared" si="4"/>
        <v>10-100</v>
      </c>
    </row>
    <row r="291" spans="1:10" x14ac:dyDescent="0.3">
      <c r="A291" t="s">
        <v>198</v>
      </c>
      <c r="B291" t="s">
        <v>199</v>
      </c>
      <c r="C291">
        <v>1.7149999999999999E-3</v>
      </c>
      <c r="D291">
        <v>0.1</v>
      </c>
      <c r="E291">
        <v>20150000</v>
      </c>
      <c r="F291">
        <v>13630</v>
      </c>
      <c r="G291">
        <v>11750000000</v>
      </c>
      <c r="H291">
        <f>IFERROR(Sheet1[[#This Row],[Volume (24h)]]/Sheet1[[#This Row],[Circulating Supply]],0)</f>
        <v>6.7789561239342894E-5</v>
      </c>
      <c r="I291">
        <f>RANK(Table2[[#This Row],[Market Cap]],Table2[Market Cap],0)</f>
        <v>100</v>
      </c>
      <c r="J291" t="str">
        <f t="shared" si="4"/>
        <v>0-0.5</v>
      </c>
    </row>
    <row r="292" spans="1:10" x14ac:dyDescent="0.3">
      <c r="A292" t="s">
        <v>159</v>
      </c>
      <c r="B292" t="s">
        <v>160</v>
      </c>
      <c r="C292">
        <v>7.5296000000000002E-2</v>
      </c>
      <c r="D292">
        <v>0.77</v>
      </c>
      <c r="E292">
        <v>28410000</v>
      </c>
      <c r="F292">
        <v>175590</v>
      </c>
      <c r="G292">
        <v>536419999999999.88</v>
      </c>
      <c r="H292">
        <f>IFERROR(Sheet1[[#This Row],[Volume (24h)]]/Sheet1[[#This Row],[Circulating Supply]],0)</f>
        <v>9.6888888888888886E-2</v>
      </c>
      <c r="I292">
        <f>RANK(Table2[[#This Row],[Market Cap]],Table2[Market Cap],0)</f>
        <v>80</v>
      </c>
      <c r="J292" t="str">
        <f t="shared" si="4"/>
        <v>0-0.5</v>
      </c>
    </row>
    <row r="293" spans="1:10" x14ac:dyDescent="0.3">
      <c r="A293" t="s">
        <v>161</v>
      </c>
      <c r="B293" t="s">
        <v>162</v>
      </c>
      <c r="C293">
        <v>2.853E-5</v>
      </c>
      <c r="D293">
        <v>0.09</v>
      </c>
      <c r="E293">
        <v>28350000</v>
      </c>
      <c r="F293">
        <v>6900000</v>
      </c>
      <c r="G293">
        <v>993700000000</v>
      </c>
      <c r="H293">
        <f>IFERROR(Sheet1[[#This Row],[Volume (24h)]]/Sheet1[[#This Row],[Circulating Supply]],0)</f>
        <v>0</v>
      </c>
      <c r="I293">
        <f>RANK(Table2[[#This Row],[Market Cap]],Table2[Market Cap],0)</f>
        <v>81</v>
      </c>
      <c r="J293" t="str">
        <f t="shared" si="4"/>
        <v>0-0.5</v>
      </c>
    </row>
    <row r="294" spans="1:10" x14ac:dyDescent="0.3">
      <c r="A294" t="s">
        <v>390</v>
      </c>
      <c r="B294" t="s">
        <v>391</v>
      </c>
      <c r="C294">
        <v>9.7230000000000007E-3</v>
      </c>
      <c r="D294">
        <v>0.12</v>
      </c>
      <c r="E294">
        <v>3290000</v>
      </c>
      <c r="F294">
        <v>92400</v>
      </c>
      <c r="G294">
        <v>339060000</v>
      </c>
      <c r="H294">
        <f>IFERROR(Sheet1[[#This Row],[Volume (24h)]]/Sheet1[[#This Row],[Circulating Supply]],0)</f>
        <v>394.40993788819878</v>
      </c>
      <c r="I294">
        <f>RANK(Table2[[#This Row],[Market Cap]],Table2[Market Cap],0)</f>
        <v>200</v>
      </c>
      <c r="J294" t="str">
        <f t="shared" si="4"/>
        <v>0-0.5</v>
      </c>
    </row>
    <row r="295" spans="1:10" x14ac:dyDescent="0.3">
      <c r="A295" t="s">
        <v>453</v>
      </c>
      <c r="B295" t="s">
        <v>454</v>
      </c>
      <c r="C295">
        <v>1.9570000000000001E-4</v>
      </c>
      <c r="D295">
        <v>1.75</v>
      </c>
      <c r="E295">
        <v>2000000</v>
      </c>
      <c r="F295">
        <v>8870</v>
      </c>
      <c r="G295">
        <v>10260000000</v>
      </c>
      <c r="H295">
        <f>IFERROR(Sheet1[[#This Row],[Volume (24h)]]/Sheet1[[#This Row],[Circulating Supply]],0)</f>
        <v>0</v>
      </c>
      <c r="I295">
        <f>RANK(Table2[[#This Row],[Market Cap]],Table2[Market Cap],0)</f>
        <v>235</v>
      </c>
      <c r="J295" t="str">
        <f t="shared" si="4"/>
        <v>0-0.5</v>
      </c>
    </row>
    <row r="296" spans="1:10" x14ac:dyDescent="0.3">
      <c r="A296" t="s">
        <v>17</v>
      </c>
      <c r="B296" t="s">
        <v>17</v>
      </c>
      <c r="C296">
        <v>1.06</v>
      </c>
      <c r="D296">
        <v>0.06</v>
      </c>
      <c r="E296">
        <v>66340000000</v>
      </c>
      <c r="F296">
        <v>1160000000</v>
      </c>
      <c r="G296">
        <v>62530000000</v>
      </c>
      <c r="H296">
        <f>IFERROR(Sheet1[[#This Row],[Volume (24h)]]/Sheet1[[#This Row],[Circulating Supply]],0)</f>
        <v>1.2022414671421294E-3</v>
      </c>
      <c r="I296">
        <f>RANK(Table2[[#This Row],[Market Cap]],Table2[Market Cap],0)</f>
        <v>6</v>
      </c>
      <c r="J296" t="str">
        <f t="shared" si="4"/>
        <v>1-2</v>
      </c>
    </row>
    <row r="297" spans="1:10" x14ac:dyDescent="0.3">
      <c r="A297" t="s">
        <v>261</v>
      </c>
      <c r="B297" t="s">
        <v>261</v>
      </c>
      <c r="C297">
        <v>0.77969999999999995</v>
      </c>
      <c r="D297">
        <v>0.15</v>
      </c>
      <c r="E297">
        <v>11780000</v>
      </c>
      <c r="F297">
        <v>477190</v>
      </c>
      <c r="G297">
        <v>15110000</v>
      </c>
      <c r="H297">
        <f>IFERROR(Sheet1[[#This Row],[Volume (24h)]]/Sheet1[[#This Row],[Circulating Supply]],0)</f>
        <v>50.304164716892842</v>
      </c>
      <c r="I297">
        <f>RANK(Table2[[#This Row],[Market Cap]],Table2[Market Cap],0)</f>
        <v>132</v>
      </c>
      <c r="J297" t="str">
        <f t="shared" si="4"/>
        <v>0.5-1</v>
      </c>
    </row>
    <row r="298" spans="1:10" x14ac:dyDescent="0.3">
      <c r="A298" t="s">
        <v>479</v>
      </c>
      <c r="B298" t="s">
        <v>480</v>
      </c>
      <c r="C298">
        <v>8.0689999999999998E-3</v>
      </c>
      <c r="D298">
        <v>0.27</v>
      </c>
      <c r="E298">
        <v>1590000</v>
      </c>
      <c r="F298">
        <v>1100000</v>
      </c>
      <c r="G298">
        <v>197300000</v>
      </c>
      <c r="H298">
        <f>IFERROR(Sheet1[[#This Row],[Volume (24h)]]/Sheet1[[#This Row],[Circulating Supply]],0)</f>
        <v>6.3494387506100533E-4</v>
      </c>
      <c r="I298">
        <f>RANK(Table2[[#This Row],[Market Cap]],Table2[Market Cap],0)</f>
        <v>246</v>
      </c>
      <c r="J298" t="str">
        <f t="shared" si="4"/>
        <v>0-0.5</v>
      </c>
    </row>
    <row r="299" spans="1:10" x14ac:dyDescent="0.3">
      <c r="A299" t="s">
        <v>232</v>
      </c>
      <c r="B299" t="s">
        <v>233</v>
      </c>
      <c r="C299">
        <v>0.11890000000000001</v>
      </c>
      <c r="D299">
        <v>0.92</v>
      </c>
      <c r="E299">
        <v>15350000</v>
      </c>
      <c r="F299">
        <v>1810000</v>
      </c>
      <c r="G299">
        <v>129100000</v>
      </c>
      <c r="H299">
        <f>IFERROR(Sheet1[[#This Row],[Volume (24h)]]/Sheet1[[#This Row],[Circulating Supply]],0)</f>
        <v>6.0252140818268314E-4</v>
      </c>
      <c r="I299">
        <f>RANK(Table2[[#This Row],[Market Cap]],Table2[Market Cap],0)</f>
        <v>118</v>
      </c>
      <c r="J299" t="str">
        <f t="shared" si="4"/>
        <v>0-0.5</v>
      </c>
    </row>
    <row r="300" spans="1:10" x14ac:dyDescent="0.3">
      <c r="A300" t="s">
        <v>28</v>
      </c>
      <c r="B300" t="s">
        <v>29</v>
      </c>
      <c r="C300">
        <v>455.74</v>
      </c>
      <c r="D300">
        <v>0.22</v>
      </c>
      <c r="E300">
        <v>7650000000</v>
      </c>
      <c r="F300">
        <v>285310000</v>
      </c>
      <c r="G300">
        <v>16790000</v>
      </c>
      <c r="H300">
        <f>IFERROR(Sheet1[[#This Row],[Volume (24h)]]/Sheet1[[#This Row],[Circulating Supply]],0)</f>
        <v>5.0620498614958451E-5</v>
      </c>
      <c r="I300">
        <f>RANK(Table2[[#This Row],[Market Cap]],Table2[Market Cap],0)</f>
        <v>14</v>
      </c>
      <c r="J300" t="str">
        <f t="shared" si="4"/>
        <v>100-10000</v>
      </c>
    </row>
    <row r="301" spans="1:10" x14ac:dyDescent="0.3">
      <c r="A301" t="s">
        <v>98</v>
      </c>
      <c r="B301" t="s">
        <v>99</v>
      </c>
      <c r="C301">
        <v>4.002E-2</v>
      </c>
      <c r="D301">
        <v>0.09</v>
      </c>
      <c r="E301">
        <v>56390000</v>
      </c>
      <c r="F301">
        <v>5970000</v>
      </c>
      <c r="G301">
        <v>1400000000</v>
      </c>
      <c r="H301">
        <f>IFERROR(Sheet1[[#This Row],[Volume (24h)]]/Sheet1[[#This Row],[Circulating Supply]],0)</f>
        <v>1.8640513461416256E-6</v>
      </c>
      <c r="I301">
        <f>RANK(Table2[[#This Row],[Market Cap]],Table2[Market Cap],0)</f>
        <v>49</v>
      </c>
      <c r="J301" t="str">
        <f t="shared" si="4"/>
        <v>0-0.5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697966-A908-4827-A908-DD32EEB949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Sheet1</vt:lpstr>
      <vt:lpstr>pivote_chats</vt:lpstr>
      <vt:lpstr>Dashboard</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SNEHITH MEKALA</cp:lastModifiedBy>
  <dcterms:created xsi:type="dcterms:W3CDTF">2026-07-31T21:16:28Z</dcterms:created>
  <dcterms:modified xsi:type="dcterms:W3CDTF">2026-08-06T18:09:44Z</dcterms:modified>
</cp:coreProperties>
</file>