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NEHITH\OneDrive\Desktop\python_practice\"/>
    </mc:Choice>
  </mc:AlternateContent>
  <xr:revisionPtr revIDLastSave="0" documentId="13_ncr:1_{940A2E10-675B-49A1-8829-2889CB6845C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osed_data" sheetId="2" r:id="rId1"/>
    <sheet name="Sheet1" sheetId="3" r:id="rId2"/>
    <sheet name="raw_data" sheetId="1" r:id="rId3"/>
  </sheets>
  <definedNames>
    <definedName name="ExternalData_1" localSheetId="0" hidden="1">closed_data!$A$1:$G$301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10ACC4-F498-4301-9EF2-481C227C34D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<sst xmlns="http://schemas.openxmlformats.org/spreadsheetml/2006/main" count="1217" uniqueCount="580">
  <si>
    <t>Coin Name</t>
  </si>
  <si>
    <t>Symbol</t>
  </si>
  <si>
    <t>Price (USD)</t>
  </si>
  <si>
    <t>1h Change (%)</t>
  </si>
  <si>
    <t>Market Cap</t>
  </si>
  <si>
    <t>Volume (24h)</t>
  </si>
  <si>
    <t>Circulating Supply</t>
  </si>
  <si>
    <t>CoinMarketCap 20 Index DTF</t>
  </si>
  <si>
    <t>CMC20</t>
  </si>
  <si>
    <t>Bitcoin</t>
  </si>
  <si>
    <t>BTC</t>
  </si>
  <si>
    <t>Ethereum</t>
  </si>
  <si>
    <t>ETH</t>
  </si>
  <si>
    <t>Tether</t>
  </si>
  <si>
    <t>USDT</t>
  </si>
  <si>
    <t>BNB</t>
  </si>
  <si>
    <t>USDC</t>
  </si>
  <si>
    <t>XRP</t>
  </si>
  <si>
    <t>Solana</t>
  </si>
  <si>
    <t>SOL</t>
  </si>
  <si>
    <t>TRON</t>
  </si>
  <si>
    <t>TRX</t>
  </si>
  <si>
    <t>Hyperliquid</t>
  </si>
  <si>
    <t>HYPE</t>
  </si>
  <si>
    <t>Dogecoin</t>
  </si>
  <si>
    <t>DOGE</t>
  </si>
  <si>
    <t>UNUS SED LEO</t>
  </si>
  <si>
    <t>LEO</t>
  </si>
  <si>
    <t>Zcash</t>
  </si>
  <si>
    <t>ZEC</t>
  </si>
  <si>
    <t>Monero</t>
  </si>
  <si>
    <t>XMR</t>
  </si>
  <si>
    <t>Cardano</t>
  </si>
  <si>
    <t>ADA</t>
  </si>
  <si>
    <t>LayerZero</t>
  </si>
  <si>
    <t>ZRO</t>
  </si>
  <si>
    <t>AINFT</t>
  </si>
  <si>
    <t>NFT</t>
  </si>
  <si>
    <t>BitTorrent [New]</t>
  </si>
  <si>
    <t>BTT</t>
  </si>
  <si>
    <t>KAITO</t>
  </si>
  <si>
    <t>Jito</t>
  </si>
  <si>
    <t>JTO</t>
  </si>
  <si>
    <t>Bitcoin SV</t>
  </si>
  <si>
    <t>BSV</t>
  </si>
  <si>
    <t>Stacks</t>
  </si>
  <si>
    <t>STX</t>
  </si>
  <si>
    <t>Pendle</t>
  </si>
  <si>
    <t>PENDLE</t>
  </si>
  <si>
    <t>Monad</t>
  </si>
  <si>
    <t>MON</t>
  </si>
  <si>
    <t>Bonk</t>
  </si>
  <si>
    <t>BONK</t>
  </si>
  <si>
    <t>Decred</t>
  </si>
  <si>
    <t>DCR</t>
  </si>
  <si>
    <t>Conflux</t>
  </si>
  <si>
    <t>CFX</t>
  </si>
  <si>
    <t>Tezos</t>
  </si>
  <si>
    <t>XTZ</t>
  </si>
  <si>
    <t>JasmyCoin</t>
  </si>
  <si>
    <t>JASMY</t>
  </si>
  <si>
    <t>Immutable</t>
  </si>
  <si>
    <t>IMX</t>
  </si>
  <si>
    <t>Rain</t>
  </si>
  <si>
    <t>RAIN</t>
  </si>
  <si>
    <t>Decimal</t>
  </si>
  <si>
    <t>DEL</t>
  </si>
  <si>
    <t>Ondo US Dollar Yield</t>
  </si>
  <si>
    <t>USDY</t>
  </si>
  <si>
    <t>HTX</t>
  </si>
  <si>
    <t>Falcon USD</t>
  </si>
  <si>
    <t>USDf</t>
  </si>
  <si>
    <t>USDGO</t>
  </si>
  <si>
    <t>c8ntinuum</t>
  </si>
  <si>
    <t>CTM</t>
  </si>
  <si>
    <t>Jupiter Perps LP</t>
  </si>
  <si>
    <t>JLP</t>
  </si>
  <si>
    <t>Beldex</t>
  </si>
  <si>
    <t>BDX</t>
  </si>
  <si>
    <t>GHO</t>
  </si>
  <si>
    <t>Usual USD</t>
  </si>
  <si>
    <t>USD0</t>
  </si>
  <si>
    <t>Solstice USX</t>
  </si>
  <si>
    <t>USX</t>
  </si>
  <si>
    <t>USDai</t>
  </si>
  <si>
    <t>USDAI</t>
  </si>
  <si>
    <t>Unibase</t>
  </si>
  <si>
    <t>UB</t>
  </si>
  <si>
    <t>Ducky</t>
  </si>
  <si>
    <t>DUCKY</t>
  </si>
  <si>
    <t>Ravencoin</t>
  </si>
  <si>
    <t>RVN</t>
  </si>
  <si>
    <t>Pharos</t>
  </si>
  <si>
    <t>PROS</t>
  </si>
  <si>
    <t>Jelly-My-Jelly</t>
  </si>
  <si>
    <t>JELLYJELLY</t>
  </si>
  <si>
    <t>Billions Network</t>
  </si>
  <si>
    <t>BILL</t>
  </si>
  <si>
    <t>ZIGChain</t>
  </si>
  <si>
    <t>ZIG</t>
  </si>
  <si>
    <t>Baby Doge Coin</t>
  </si>
  <si>
    <t>BabyDoge</t>
  </si>
  <si>
    <t>Magma Finance</t>
  </si>
  <si>
    <t>MAGMA</t>
  </si>
  <si>
    <t>Kusama</t>
  </si>
  <si>
    <t>KSM</t>
  </si>
  <si>
    <t>Allora</t>
  </si>
  <si>
    <t>ALLO</t>
  </si>
  <si>
    <t>Turbo</t>
  </si>
  <si>
    <t>TURBO</t>
  </si>
  <si>
    <t>aPriori</t>
  </si>
  <si>
    <t>APR</t>
  </si>
  <si>
    <t>OpenLedger</t>
  </si>
  <si>
    <t>OPEN</t>
  </si>
  <si>
    <t>Nano</t>
  </si>
  <si>
    <t>XNO</t>
  </si>
  <si>
    <t>Theta Fuel</t>
  </si>
  <si>
    <t>TFUEL</t>
  </si>
  <si>
    <t>FUNToken</t>
  </si>
  <si>
    <t>FUN</t>
  </si>
  <si>
    <t>NVIDIA Tokenized Stock (Ondo)</t>
  </si>
  <si>
    <t>NVDAon</t>
  </si>
  <si>
    <t>Peanut the Squirrel</t>
  </si>
  <si>
    <t>PNUT</t>
  </si>
  <si>
    <t>Ronin</t>
  </si>
  <si>
    <t>RON</t>
  </si>
  <si>
    <t>BitDCA</t>
  </si>
  <si>
    <t>BDCA</t>
  </si>
  <si>
    <t>Threshold</t>
  </si>
  <si>
    <t>T</t>
  </si>
  <si>
    <t>Irys</t>
  </si>
  <si>
    <t>IRYS</t>
  </si>
  <si>
    <t>Mog Coin</t>
  </si>
  <si>
    <t>MOG</t>
  </si>
  <si>
    <t>Gemini Dollar</t>
  </si>
  <si>
    <t>GUSD</t>
  </si>
  <si>
    <t>Brett (Based)</t>
  </si>
  <si>
    <t>BRETT</t>
  </si>
  <si>
    <t>Creditcoin</t>
  </si>
  <si>
    <t>CTC</t>
  </si>
  <si>
    <t>Eurite</t>
  </si>
  <si>
    <t>EURI</t>
  </si>
  <si>
    <t>Orochi Network</t>
  </si>
  <si>
    <t>ON</t>
  </si>
  <si>
    <t>Celo</t>
  </si>
  <si>
    <t>CELO</t>
  </si>
  <si>
    <t>Tellor</t>
  </si>
  <si>
    <t>TRB</t>
  </si>
  <si>
    <t>Paycoin</t>
  </si>
  <si>
    <t>PCI</t>
  </si>
  <si>
    <t>Asteroid Shiba</t>
  </si>
  <si>
    <t>ASTEROID</t>
  </si>
  <si>
    <t>Nockchain</t>
  </si>
  <si>
    <t>NOCK</t>
  </si>
  <si>
    <t>Mango</t>
  </si>
  <si>
    <t>MNGO</t>
  </si>
  <si>
    <t>USDK</t>
  </si>
  <si>
    <t>Hims &amp; Hers Health Tokenized Stock (Ondo)</t>
  </si>
  <si>
    <t>HIMSon</t>
  </si>
  <si>
    <t>Wiki Cat</t>
  </si>
  <si>
    <t>WKC</t>
  </si>
  <si>
    <t>WINkLink</t>
  </si>
  <si>
    <t>WIN</t>
  </si>
  <si>
    <t>Siacoin</t>
  </si>
  <si>
    <t>SC</t>
  </si>
  <si>
    <t>Dusk</t>
  </si>
  <si>
    <t>DUSK</t>
  </si>
  <si>
    <t>Impossible Cloud Network</t>
  </si>
  <si>
    <t>ICNT</t>
  </si>
  <si>
    <t>Manta Network</t>
  </si>
  <si>
    <t>MANTA</t>
  </si>
  <si>
    <t>Semicon Bull 3X ETF Tokenized bStocks</t>
  </si>
  <si>
    <t>SOXLB</t>
  </si>
  <si>
    <t>Block Street</t>
  </si>
  <si>
    <t>BSB</t>
  </si>
  <si>
    <t>Bancor</t>
  </si>
  <si>
    <t>BNT</t>
  </si>
  <si>
    <t>Anoma</t>
  </si>
  <si>
    <t>XAN</t>
  </si>
  <si>
    <t>Illuvium</t>
  </si>
  <si>
    <t>ILV</t>
  </si>
  <si>
    <t>Somnia</t>
  </si>
  <si>
    <t>SOMI</t>
  </si>
  <si>
    <t>GMT</t>
  </si>
  <si>
    <t>Micron Tokenized Stock (Reality)</t>
  </si>
  <si>
    <t>rMU</t>
  </si>
  <si>
    <t>Chia</t>
  </si>
  <si>
    <t>XCH</t>
  </si>
  <si>
    <t>IoTeX</t>
  </si>
  <si>
    <t>IOTX</t>
  </si>
  <si>
    <t>MetaMask USD</t>
  </si>
  <si>
    <t>mUSD</t>
  </si>
  <si>
    <t>SanDisk Tokenized Stock (Reality)</t>
  </si>
  <si>
    <t>rSNDK</t>
  </si>
  <si>
    <t>Steem</t>
  </si>
  <si>
    <t>STEEM</t>
  </si>
  <si>
    <t>OpenAI
Pre-IPO stock (Republic)</t>
  </si>
  <si>
    <t>preOPAI</t>
  </si>
  <si>
    <t>Wibx</t>
  </si>
  <si>
    <t>WBX</t>
  </si>
  <si>
    <t>Sapien</t>
  </si>
  <si>
    <t>SAPIEN</t>
  </si>
  <si>
    <t>RollX</t>
  </si>
  <si>
    <t>ROLL</t>
  </si>
  <si>
    <t>TokenPocket</t>
  </si>
  <si>
    <t>TPT</t>
  </si>
  <si>
    <t>Ontology Gas</t>
  </si>
  <si>
    <t>ONG</t>
  </si>
  <si>
    <t>Infinex</t>
  </si>
  <si>
    <t>INX</t>
  </si>
  <si>
    <t>STBL</t>
  </si>
  <si>
    <t>Bless</t>
  </si>
  <si>
    <t>BLESS</t>
  </si>
  <si>
    <t>Fulcrom Finance</t>
  </si>
  <si>
    <t>FUL</t>
  </si>
  <si>
    <t>Araracoin</t>
  </si>
  <si>
    <t>ARARA</t>
  </si>
  <si>
    <t>Blast</t>
  </si>
  <si>
    <t>BLAST</t>
  </si>
  <si>
    <t>Velodrome Finance</t>
  </si>
  <si>
    <t>VELO</t>
  </si>
  <si>
    <t>WalletConnect Token</t>
  </si>
  <si>
    <t>WCT</t>
  </si>
  <si>
    <t>Marvell Technology Tokenized Stock (Ondo)</t>
  </si>
  <si>
    <t>MRVLon</t>
  </si>
  <si>
    <t>RIZE</t>
  </si>
  <si>
    <t>Humidifi</t>
  </si>
  <si>
    <t>WET</t>
  </si>
  <si>
    <t>TAC Protocol</t>
  </si>
  <si>
    <t>TAC</t>
  </si>
  <si>
    <t>Adshares</t>
  </si>
  <si>
    <t>ADS</t>
  </si>
  <si>
    <t>Yei Finance</t>
  </si>
  <si>
    <t>CLO</t>
  </si>
  <si>
    <t>GameBuild</t>
  </si>
  <si>
    <t>GAME</t>
  </si>
  <si>
    <t>Aurora</t>
  </si>
  <si>
    <t>AURORA</t>
  </si>
  <si>
    <t>Firo</t>
  </si>
  <si>
    <t>FIRO</t>
  </si>
  <si>
    <t>SoFi Technologies Tokenized Stock (Ondo)</t>
  </si>
  <si>
    <t>SOFIon</t>
  </si>
  <si>
    <t>Pythia</t>
  </si>
  <si>
    <t>PYTHIA</t>
  </si>
  <si>
    <t>Radworks</t>
  </si>
  <si>
    <t>RAD</t>
  </si>
  <si>
    <t>Metadium</t>
  </si>
  <si>
    <t>META</t>
  </si>
  <si>
    <t>Strategy Tokenized bStocks</t>
  </si>
  <si>
    <t>MSTRB</t>
  </si>
  <si>
    <t>USDB</t>
  </si>
  <si>
    <t>iShares Gold Trust Tokenized ETF (Ondo)</t>
  </si>
  <si>
    <t>IAUon</t>
  </si>
  <si>
    <t>OG Fan Token</t>
  </si>
  <si>
    <t>OG</t>
  </si>
  <si>
    <t>SaucerSwap</t>
  </si>
  <si>
    <t>SAUCE</t>
  </si>
  <si>
    <t>Orchid</t>
  </si>
  <si>
    <t>OXT</t>
  </si>
  <si>
    <t>Bitcoin Diamond</t>
  </si>
  <si>
    <t>BCD</t>
  </si>
  <si>
    <t>XSGD</t>
  </si>
  <si>
    <t>Tesla Tokenized bStocks</t>
  </si>
  <si>
    <t>TSLAB</t>
  </si>
  <si>
    <t>Hegic</t>
  </si>
  <si>
    <t>HEGIC</t>
  </si>
  <si>
    <t>Maverick Protocol</t>
  </si>
  <si>
    <t>MAV</t>
  </si>
  <si>
    <t>Nexa (nexaagent.xyz)</t>
  </si>
  <si>
    <t>NXA</t>
  </si>
  <si>
    <t>AITECH Cloud Network</t>
  </si>
  <si>
    <t>ACN</t>
  </si>
  <si>
    <t>Boba Network</t>
  </si>
  <si>
    <t>BOBA</t>
  </si>
  <si>
    <t>Clash of Lilliput</t>
  </si>
  <si>
    <t>COL</t>
  </si>
  <si>
    <t>Decentrawood</t>
  </si>
  <si>
    <t>DEOD</t>
  </si>
  <si>
    <t>Nebius Tokenized bStocks</t>
  </si>
  <si>
    <t>NBISB</t>
  </si>
  <si>
    <t>Dolomite</t>
  </si>
  <si>
    <t>DOLO</t>
  </si>
  <si>
    <t>Intuition</t>
  </si>
  <si>
    <t>TRUST</t>
  </si>
  <si>
    <t>KernelDAO</t>
  </si>
  <si>
    <t>KERNEL</t>
  </si>
  <si>
    <t>Ninja Squad Token</t>
  </si>
  <si>
    <t>NST</t>
  </si>
  <si>
    <t>Jimothy The Raccoon</t>
  </si>
  <si>
    <t>JIMOTHY</t>
  </si>
  <si>
    <t>Moonbeam</t>
  </si>
  <si>
    <t>GLMR</t>
  </si>
  <si>
    <t>Fartboy</t>
  </si>
  <si>
    <t>FARTBOY</t>
  </si>
  <si>
    <t>Drift</t>
  </si>
  <si>
    <t>DRIFT</t>
  </si>
  <si>
    <t>AS Roma Fan Token</t>
  </si>
  <si>
    <t>ASR</t>
  </si>
  <si>
    <t>Tradoor</t>
  </si>
  <si>
    <t>TRADOOR</t>
  </si>
  <si>
    <t>Applied Optoelectronics Tokenized bStocks</t>
  </si>
  <si>
    <t>AAOIB</t>
  </si>
  <si>
    <t>MyShell</t>
  </si>
  <si>
    <t>SHELL</t>
  </si>
  <si>
    <t>AVA</t>
  </si>
  <si>
    <t>SpaceX tokenized stock (Backpack)</t>
  </si>
  <si>
    <t>SPCX</t>
  </si>
  <si>
    <t>iShares MSCI Emerging Markets Tokenized ETF (Ondo)</t>
  </si>
  <si>
    <t>EEMon</t>
  </si>
  <si>
    <t>StablR Euro</t>
  </si>
  <si>
    <t>EURR</t>
  </si>
  <si>
    <t>Haedal Protocol</t>
  </si>
  <si>
    <t>HAEDAL</t>
  </si>
  <si>
    <t>Venus DAI</t>
  </si>
  <si>
    <t>vDAI</t>
  </si>
  <si>
    <t>DACXI</t>
  </si>
  <si>
    <t>DXI</t>
  </si>
  <si>
    <t>Balancer</t>
  </si>
  <si>
    <t>BAL</t>
  </si>
  <si>
    <t>Pepecoin</t>
  </si>
  <si>
    <t>PEP</t>
  </si>
  <si>
    <t>FC Barcelona Fan Token</t>
  </si>
  <si>
    <t>BAR</t>
  </si>
  <si>
    <t>Grove</t>
  </si>
  <si>
    <t>GROVE</t>
  </si>
  <si>
    <t>Layer3</t>
  </si>
  <si>
    <t>L3</t>
  </si>
  <si>
    <t>Hyperion</t>
  </si>
  <si>
    <t>RION</t>
  </si>
  <si>
    <t>RACA</t>
  </si>
  <si>
    <t>Tradr 2X Long SNDK ETF Tokenized bStocks</t>
  </si>
  <si>
    <t>SNXXB</t>
  </si>
  <si>
    <t>MAP Protocol</t>
  </si>
  <si>
    <t>MAPO</t>
  </si>
  <si>
    <t>SymVerse (symverse.org)</t>
  </si>
  <si>
    <t>SYMM</t>
  </si>
  <si>
    <t>Elastos</t>
  </si>
  <si>
    <t>ELA</t>
  </si>
  <si>
    <t>Mamo</t>
  </si>
  <si>
    <t>MAMO</t>
  </si>
  <si>
    <t>Broadcom Tokenized Stock (Ondo)</t>
  </si>
  <si>
    <t>AVGOon</t>
  </si>
  <si>
    <t>Alltoscan</t>
  </si>
  <si>
    <t>ATS</t>
  </si>
  <si>
    <t>Treehouse</t>
  </si>
  <si>
    <t>TREE</t>
  </si>
  <si>
    <t>Bitlight</t>
  </si>
  <si>
    <t>LIGHT</t>
  </si>
  <si>
    <t>Utrust</t>
  </si>
  <si>
    <t>UTK</t>
  </si>
  <si>
    <t>Save</t>
  </si>
  <si>
    <t>SAVE</t>
  </si>
  <si>
    <t>Edel</t>
  </si>
  <si>
    <t>EDEL</t>
  </si>
  <si>
    <t>Viction</t>
  </si>
  <si>
    <t>VIC</t>
  </si>
  <si>
    <t>MAGIC•INTERNET•MONEY (Bitcoin)</t>
  </si>
  <si>
    <t>MIM</t>
  </si>
  <si>
    <t>Lockheed Tokenized Stock (Ondo)</t>
  </si>
  <si>
    <t>LMTon</t>
  </si>
  <si>
    <t>Lingo</t>
  </si>
  <si>
    <t>LINGO</t>
  </si>
  <si>
    <t>NEM</t>
  </si>
  <si>
    <t>XEM</t>
  </si>
  <si>
    <t>MonaCoin</t>
  </si>
  <si>
    <t>MONA</t>
  </si>
  <si>
    <t>Bytecoin</t>
  </si>
  <si>
    <t>BCN</t>
  </si>
  <si>
    <t>AIVille Governance Token</t>
  </si>
  <si>
    <t>AIV</t>
  </si>
  <si>
    <t>RSS3</t>
  </si>
  <si>
    <t>HOPR</t>
  </si>
  <si>
    <t>Galeon</t>
  </si>
  <si>
    <t>GALEON</t>
  </si>
  <si>
    <t>ARAI</t>
  </si>
  <si>
    <t>AA</t>
  </si>
  <si>
    <t>CateCoin</t>
  </si>
  <si>
    <t>CATE</t>
  </si>
  <si>
    <t>PlatON</t>
  </si>
  <si>
    <t>LAT</t>
  </si>
  <si>
    <t>Ampleforth Governance Token</t>
  </si>
  <si>
    <t>FORTH</t>
  </si>
  <si>
    <t>VitaDAO</t>
  </si>
  <si>
    <t>VITA</t>
  </si>
  <si>
    <t>Roundhill Memory ETF Tokenized ETF (Ondo)</t>
  </si>
  <si>
    <t>DRAMon</t>
  </si>
  <si>
    <t>AST SpaceMobile Tokenized Stock (Ondo)</t>
  </si>
  <si>
    <t>ASTSon</t>
  </si>
  <si>
    <t>Ren</t>
  </si>
  <si>
    <t>REN</t>
  </si>
  <si>
    <t>World3</t>
  </si>
  <si>
    <t>WAI</t>
  </si>
  <si>
    <t>Marina Protocol</t>
  </si>
  <si>
    <t>BAY</t>
  </si>
  <si>
    <t>Djed</t>
  </si>
  <si>
    <t>DJED</t>
  </si>
  <si>
    <t>Alibaba Tokenized Stock (Ondo)</t>
  </si>
  <si>
    <t>BABAon</t>
  </si>
  <si>
    <t>CESS Network</t>
  </si>
  <si>
    <t>CESS</t>
  </si>
  <si>
    <t>GAIB</t>
  </si>
  <si>
    <t>Gems</t>
  </si>
  <si>
    <t>GEMS</t>
  </si>
  <si>
    <t>Advanced Micro Devices Tokenized bStocks</t>
  </si>
  <si>
    <t>AMDB</t>
  </si>
  <si>
    <t>Odos</t>
  </si>
  <si>
    <t>ODOS</t>
  </si>
  <si>
    <t>Purple Pepe</t>
  </si>
  <si>
    <t>$PURPE</t>
  </si>
  <si>
    <t>PeiPei (ETH)</t>
  </si>
  <si>
    <t>PEIPEI</t>
  </si>
  <si>
    <t>Suku</t>
  </si>
  <si>
    <t>SUKU</t>
  </si>
  <si>
    <t>IMPT</t>
  </si>
  <si>
    <t>Book of Ethereum</t>
  </si>
  <si>
    <t>BOOE</t>
  </si>
  <si>
    <t>Forest Protocol</t>
  </si>
  <si>
    <t>FOREST</t>
  </si>
  <si>
    <t>Meta Tokenized Stock (Reality)</t>
  </si>
  <si>
    <t>rMETA</t>
  </si>
  <si>
    <t>Not Pixel</t>
  </si>
  <si>
    <t>PX</t>
  </si>
  <si>
    <t>VOOI</t>
  </si>
  <si>
    <t>MATH</t>
  </si>
  <si>
    <t>GOLDAO</t>
  </si>
  <si>
    <t>Aleph Zero</t>
  </si>
  <si>
    <t>AZERO</t>
  </si>
  <si>
    <t>Vara Network</t>
  </si>
  <si>
    <t>VARA</t>
  </si>
  <si>
    <t>EarthMeta</t>
  </si>
  <si>
    <t>EMT</t>
  </si>
  <si>
    <t>Tectum</t>
  </si>
  <si>
    <t>TET</t>
  </si>
  <si>
    <t>Bellscoin</t>
  </si>
  <si>
    <t>BELLS</t>
  </si>
  <si>
    <t>DOWGE</t>
  </si>
  <si>
    <t>DJI6930</t>
  </si>
  <si>
    <t>Flying Tulip</t>
  </si>
  <si>
    <t>FT</t>
  </si>
  <si>
    <t>TSMC Tokenized Stock (Reality)</t>
  </si>
  <si>
    <t>rTSM</t>
  </si>
  <si>
    <t>AXT Tokenized bStocks</t>
  </si>
  <si>
    <t>AXTIB</t>
  </si>
  <si>
    <t>ProShares UltraPro QQQ Tokenized bStocks</t>
  </si>
  <si>
    <t>TQQQB</t>
  </si>
  <si>
    <t>Numbers Protocol</t>
  </si>
  <si>
    <t>NUM</t>
  </si>
  <si>
    <t>Alibaba Tokenized bStocks</t>
  </si>
  <si>
    <t>BABAB</t>
  </si>
  <si>
    <t>Qualcomm Tokenized bStocks</t>
  </si>
  <si>
    <t>QCOMB</t>
  </si>
  <si>
    <t>Streamflow</t>
  </si>
  <si>
    <t>STREAM</t>
  </si>
  <si>
    <t>WYDE: End Hunger</t>
  </si>
  <si>
    <t>EAT</t>
  </si>
  <si>
    <t>LIBRA</t>
  </si>
  <si>
    <t>Sharp</t>
  </si>
  <si>
    <t>SHARP</t>
  </si>
  <si>
    <t>Jesus Coin</t>
  </si>
  <si>
    <t>JESUS</t>
  </si>
  <si>
    <t>Humans.ai</t>
  </si>
  <si>
    <t>HEART</t>
  </si>
  <si>
    <t>BORGY</t>
  </si>
  <si>
    <t>Vertical AI</t>
  </si>
  <si>
    <t>VERTAI</t>
  </si>
  <si>
    <t>KiboShib</t>
  </si>
  <si>
    <t>KIBSHI</t>
  </si>
  <si>
    <t>Bitcicoin</t>
  </si>
  <si>
    <t>BITCI</t>
  </si>
  <si>
    <t>Coinbase Tokenized Stock (Reality)</t>
  </si>
  <si>
    <t>rCOIN</t>
  </si>
  <si>
    <t>Dora Factory</t>
  </si>
  <si>
    <t>DORA</t>
  </si>
  <si>
    <t>BioPassport Token</t>
  </si>
  <si>
    <t>BIOT</t>
  </si>
  <si>
    <t>toyow</t>
  </si>
  <si>
    <t>TTN</t>
  </si>
  <si>
    <t>Argentine Football Association Fan Token</t>
  </si>
  <si>
    <t>ARG</t>
  </si>
  <si>
    <t>Xterio</t>
  </si>
  <si>
    <t>XTER</t>
  </si>
  <si>
    <t>Reserve AI Infrastructure Tokenized DTF</t>
  </si>
  <si>
    <t>BUILDOUT</t>
  </si>
  <si>
    <t>MIA</t>
  </si>
  <si>
    <t>HI</t>
  </si>
  <si>
    <t>Reserve AI Photonics Tokenized DTF</t>
  </si>
  <si>
    <t>PHOTON</t>
  </si>
  <si>
    <t>Rarible</t>
  </si>
  <si>
    <t>RARI</t>
  </si>
  <si>
    <t>GALAXIA</t>
  </si>
  <si>
    <t>GXA</t>
  </si>
  <si>
    <t>Wells Fargo Tokenized Stock (Ondo)</t>
  </si>
  <si>
    <t>WFCon</t>
  </si>
  <si>
    <t>Real Briefly</t>
  </si>
  <si>
    <t>REAL</t>
  </si>
  <si>
    <t>Tenset</t>
  </si>
  <si>
    <t>10SET</t>
  </si>
  <si>
    <t>Mastercard Tokenized Stock (Ondo)</t>
  </si>
  <si>
    <t>MAon</t>
  </si>
  <si>
    <t>Chamber</t>
  </si>
  <si>
    <t>DHT</t>
  </si>
  <si>
    <t>Defactor</t>
  </si>
  <si>
    <t>Tottenham Hotspur Fan Token</t>
  </si>
  <si>
    <t>SPURS</t>
  </si>
  <si>
    <t>Make Aliens Great Again</t>
  </si>
  <si>
    <t>MAGA</t>
  </si>
  <si>
    <t>Perpetual Protocol</t>
  </si>
  <si>
    <t>PERP</t>
  </si>
  <si>
    <t>The White Whale</t>
  </si>
  <si>
    <t>WHITEWHALE</t>
  </si>
  <si>
    <t>GemHUB</t>
  </si>
  <si>
    <t>GHUB</t>
  </si>
  <si>
    <t>RENEC</t>
  </si>
  <si>
    <t>ShibaDoge</t>
  </si>
  <si>
    <t>SHIBDOGE</t>
  </si>
  <si>
    <t>Cypherium</t>
  </si>
  <si>
    <t>CPH</t>
  </si>
  <si>
    <t>Adappter Token</t>
  </si>
  <si>
    <t>ADP</t>
  </si>
  <si>
    <t>Hoge Finance</t>
  </si>
  <si>
    <t>HOGE</t>
  </si>
  <si>
    <t>POOH</t>
  </si>
  <si>
    <t>Portugal National Team Fan Token</t>
  </si>
  <si>
    <t>POR</t>
  </si>
  <si>
    <t>Saros</t>
  </si>
  <si>
    <t>SAROS</t>
  </si>
  <si>
    <t>Hachiko</t>
  </si>
  <si>
    <t>$HACHI</t>
  </si>
  <si>
    <t>HashAI</t>
  </si>
  <si>
    <t>HASHAI</t>
  </si>
  <si>
    <t>HyperGPT</t>
  </si>
  <si>
    <t>HGPT</t>
  </si>
  <si>
    <t>UNCX Network</t>
  </si>
  <si>
    <t>UNCX</t>
  </si>
  <si>
    <t>Radiant</t>
  </si>
  <si>
    <t>RXD</t>
  </si>
  <si>
    <t>LayerX</t>
  </si>
  <si>
    <t>LX</t>
  </si>
  <si>
    <t>Bloom Energy Tokenized bStocks</t>
  </si>
  <si>
    <t>BEB</t>
  </si>
  <si>
    <t>Hoppy (hoppy.vip)</t>
  </si>
  <si>
    <t>HOPPY</t>
  </si>
  <si>
    <t>Nietzschean Penguin</t>
  </si>
  <si>
    <t>PENGUIN</t>
  </si>
  <si>
    <t>NuNet</t>
  </si>
  <si>
    <t>NTX</t>
  </si>
  <si>
    <t>GameFi.org</t>
  </si>
  <si>
    <t>GAFI</t>
  </si>
  <si>
    <t>Lit Protocol</t>
  </si>
  <si>
    <t>LITKEY</t>
  </si>
  <si>
    <t>CatSlap</t>
  </si>
  <si>
    <t>SLAP</t>
  </si>
  <si>
    <t>DeepBrain Chain</t>
  </si>
  <si>
    <t>DBC</t>
  </si>
  <si>
    <t>Rocket Lab Tokenized bStocks</t>
  </si>
  <si>
    <t>RKLBB</t>
  </si>
  <si>
    <t>ScPrime</t>
  </si>
  <si>
    <t>SCP</t>
  </si>
  <si>
    <t>DeepNode</t>
  </si>
  <si>
    <t>DN</t>
  </si>
  <si>
    <t>SideShift Token</t>
  </si>
  <si>
    <t>XAI</t>
  </si>
  <si>
    <t>Amazon Tokenized bStocks</t>
  </si>
  <si>
    <t>AMZNB</t>
  </si>
  <si>
    <t>HODL</t>
  </si>
  <si>
    <t>OpenGPU</t>
  </si>
  <si>
    <t>OGPU</t>
  </si>
  <si>
    <t>GraniteShares 2X Long MRVL ETF Tokenized bStocks</t>
  </si>
  <si>
    <t>MVLLB</t>
  </si>
  <si>
    <t>Blocksquare Token</t>
  </si>
  <si>
    <t>BST</t>
  </si>
  <si>
    <t>Sportbet.one Token</t>
  </si>
  <si>
    <t>SBET</t>
  </si>
  <si>
    <t>ShareToken</t>
  </si>
  <si>
    <t>SHR</t>
  </si>
  <si>
    <t>NanoByte Token</t>
  </si>
  <si>
    <t>NBT</t>
  </si>
  <si>
    <t>Doller Volume per Supply</t>
  </si>
  <si>
    <t xml:space="preserve">Rank 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</si>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</sst>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350C8A-DBED-45E1-9675-83300D564C6A}" autoFormatId="16" applyNumberFormats="0" applyBorderFormats="0" applyFontFormats="0" applyPatternFormats="0" applyAlignmentFormats="0" applyWidthHeightFormats="0">
  <queryTableRefresh nextId="8">
    <queryTableFields count="7">
      <queryTableField id="1" name="Coin Name" tableColumnId="1"/>
      <queryTableField id="2" name="Symbol" tableColumnId="2"/>
      <queryTableField id="3" name="Price (USD)" tableColumnId="3"/>
      <queryTableField id="4" name="1h Change (%)" tableColumnId="4"/>
      <queryTableField id="5" name="Market Cap" tableColumnId="5"/>
      <queryTableField id="6" name="Volume (24h)" tableColumnId="6"/>
      <queryTableField id="7" name="Circulating Suppl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7AE8E-D1F4-4C64-B84C-66363792DA03}" name="Sheet1" displayName="Sheet1" ref="A1:G301" tableType="queryTable" totalsRowShown="0">
  <autoFilter ref="A1:G301" xr:uid="{1557AE8E-D1F4-4C64-B84C-66363792DA03}"/>
  <tableColumns count="7">
    <tableColumn id="1" xr3:uid="{D28E2684-2503-4284-9727-E4DD5A612591}" uniqueName="1" name="Coin Name" queryTableFieldId="1"/>
    <tableColumn id="2" xr3:uid="{875D6630-135E-4785-BA96-3A7D82F8413A}" uniqueName="2" name="Symbol" queryTableFieldId="2"/>
    <tableColumn id="3" xr3:uid="{318DC025-9E3C-4B45-B172-320851F437CA}" uniqueName="3" name="Price (USD)" queryTableFieldId="3"/>
    <tableColumn id="4" xr3:uid="{C7935591-E1DD-4390-9EF9-D76EC4A23532}" uniqueName="4" name="1h Change (%)" queryTableFieldId="4"/>
    <tableColumn id="5" xr3:uid="{7529EAD9-2CFA-45DB-A24D-CDA4BDF5CFF5}" uniqueName="5" name="Market Cap" queryTableFieldId="5"/>
    <tableColumn id="6" xr3:uid="{B4822189-11CB-4077-AFA4-6D6013B9D88F}" uniqueName="6" name="Volume (24h)" queryTableFieldId="6"/>
    <tableColumn id="7" xr3:uid="{8DD26786-18A1-4E6F-BAA2-E7CAFC0EBF2C}" uniqueName="7" name="Circulating Supply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CAA20C-0AA9-4F25-A12B-F66AB89F982E}" name="Table2" displayName="Table2" ref="A1:J301" totalsRowShown="0" headerRowDxfId="3">
  <autoFilter ref="A1:J301" xr:uid="{ADCAA20C-0AA9-4F25-A12B-F66AB89F982E}"/>
  <tableColumns count="10">
    <tableColumn id="1" xr3:uid="{38C223BD-E38C-4334-83C9-F75C9F2FD308}" name="Coin Name"/>
    <tableColumn id="2" xr3:uid="{BE26BE7B-5B84-4867-8027-DA551752B87B}" name="Symbol"/>
    <tableColumn id="3" xr3:uid="{8DD0D27D-4922-42C1-8F77-D5C25E4B50EE}" name="Price (USD)"/>
    <tableColumn id="4" xr3:uid="{C1AC8DD4-AB47-4F1F-9989-8E254A97E438}" name="1h Change (%)"/>
    <tableColumn id="5" xr3:uid="{73EB7DDD-E330-4009-82F5-AFDEB52BC46C}" name="Market Cap"/>
    <tableColumn id="6" xr3:uid="{964DE61B-B8DB-477C-BAF3-9C5A62AC4976}" name="Volume (24h)"/>
    <tableColumn id="7" xr3:uid="{66F4549B-3280-4045-8C52-96EBBBCE2050}" name="Circulating Supply"/>
    <tableColumn id="8" xr3:uid="{43246407-DD86-465E-BC22-A835021C577C}" name="Doller Volume per Supply" dataDxfId="2">
      <calculatedColumnFormula>Table2[[#This Row],[Volume (24h)]]/Table2[[#This Row],[Circulating Supply]]</calculatedColumnFormula>
    </tableColumn>
    <tableColumn id="9" xr3:uid="{6C0EC9BE-1EE4-4135-9BB8-86AE6DB805BF}" name="Rank " dataDxfId="1">
      <calculatedColumnFormula>RANK(Table2[[#This Row],[Market Cap]],Table2[Market Cap],0)</calculatedColumnFormula>
    </tableColumn>
    <tableColumn id="10" xr3:uid="{B8D4A2D2-7751-4A50-9FA6-9D6E84952330}" name="Price range" dataDxfId="0">
      <calculatedColumnFormula>IF(C2&lt;=0.5,"0-0.5",
IF(C2&lt;=1,"0.5-1",
IF(C2&lt;=2,"1-2",
IF(C2&lt;=10,"2-10",
IF(C2&lt;=100,"10-100",
IF(C2&lt;=10000,"100-10000",
"10000+"))))))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4FFA-FA25-45FF-9FC8-A716B7C1FEC8}">
  <dimension ref="A1:G301"/>
  <sheetViews>
    <sheetView workbookViewId="0"/>
  </sheetViews>
  <sheetFormatPr defaultRowHeight="14.4" x14ac:dyDescent="0.3"/>
  <cols>
    <col min="1" max="1" width="45.33203125" bestFit="1" customWidth="1"/>
    <col min="2" max="2" width="12.5546875" bestFit="1" customWidth="1"/>
    <col min="3" max="3" width="12.6640625" bestFit="1" customWidth="1"/>
    <col min="4" max="4" width="15.44140625" bestFit="1" customWidth="1"/>
    <col min="5" max="5" width="13" bestFit="1" customWidth="1"/>
    <col min="6" max="6" width="14.6640625" bestFit="1" customWidth="1"/>
    <col min="7" max="7" width="18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127.69</v>
      </c>
      <c r="D2">
        <v>0.16</v>
      </c>
      <c r="E2">
        <v>6050000</v>
      </c>
      <c r="F2">
        <v>1570000</v>
      </c>
      <c r="G2">
        <v>47430</v>
      </c>
    </row>
    <row r="3" spans="1:7" x14ac:dyDescent="0.3">
      <c r="A3" t="s">
        <v>9</v>
      </c>
      <c r="B3" t="s">
        <v>10</v>
      </c>
      <c r="C3">
        <v>62905.02</v>
      </c>
      <c r="D3">
        <v>0.01</v>
      </c>
      <c r="E3">
        <v>1260000000000</v>
      </c>
      <c r="F3">
        <v>30990000000</v>
      </c>
      <c r="G3">
        <v>20060000</v>
      </c>
    </row>
    <row r="4" spans="1:7" x14ac:dyDescent="0.3">
      <c r="A4" t="s">
        <v>11</v>
      </c>
      <c r="B4" t="s">
        <v>12</v>
      </c>
      <c r="C4">
        <v>1861.07</v>
      </c>
      <c r="D4">
        <v>0.27</v>
      </c>
      <c r="E4">
        <v>224490000000</v>
      </c>
      <c r="F4">
        <v>10560000000</v>
      </c>
      <c r="G4">
        <v>120680000</v>
      </c>
    </row>
    <row r="5" spans="1:7" x14ac:dyDescent="0.3">
      <c r="A5" t="s">
        <v>13</v>
      </c>
      <c r="B5" t="s">
        <v>14</v>
      </c>
      <c r="C5">
        <v>0.999</v>
      </c>
      <c r="D5">
        <v>0.01</v>
      </c>
      <c r="E5">
        <v>183630000000</v>
      </c>
      <c r="F5">
        <v>56830000000</v>
      </c>
      <c r="G5">
        <v>183810000000</v>
      </c>
    </row>
    <row r="6" spans="1:7" x14ac:dyDescent="0.3">
      <c r="A6" t="s">
        <v>15</v>
      </c>
      <c r="B6" t="s">
        <v>15</v>
      </c>
      <c r="C6">
        <v>586.66999999999996</v>
      </c>
      <c r="D6">
        <v>0.21</v>
      </c>
      <c r="E6">
        <v>78080000000</v>
      </c>
      <c r="F6">
        <v>1230000000</v>
      </c>
      <c r="G6">
        <v>133160000</v>
      </c>
    </row>
    <row r="7" spans="1:7" x14ac:dyDescent="0.3">
      <c r="A7" t="s">
        <v>16</v>
      </c>
      <c r="B7" t="s">
        <v>16</v>
      </c>
      <c r="C7">
        <v>0.99980000000000002</v>
      </c>
      <c r="D7">
        <v>0.01</v>
      </c>
      <c r="E7">
        <v>71920000000</v>
      </c>
      <c r="F7">
        <v>9790000000</v>
      </c>
      <c r="G7">
        <v>71940000000</v>
      </c>
    </row>
    <row r="8" spans="1:7" x14ac:dyDescent="0.3">
      <c r="A8" t="s">
        <v>17</v>
      </c>
      <c r="B8" t="s">
        <v>17</v>
      </c>
      <c r="C8">
        <v>1.06</v>
      </c>
      <c r="D8">
        <v>0.06</v>
      </c>
      <c r="E8">
        <v>66340000000</v>
      </c>
      <c r="F8">
        <v>1160000000</v>
      </c>
      <c r="G8">
        <v>62530000000</v>
      </c>
    </row>
    <row r="9" spans="1:7" x14ac:dyDescent="0.3">
      <c r="A9" t="s">
        <v>18</v>
      </c>
      <c r="B9" t="s">
        <v>19</v>
      </c>
      <c r="C9">
        <v>72.87</v>
      </c>
      <c r="D9">
        <v>0.24</v>
      </c>
      <c r="E9">
        <v>42240000000</v>
      </c>
      <c r="F9">
        <v>1610000000</v>
      </c>
      <c r="G9">
        <v>579700000</v>
      </c>
    </row>
    <row r="10" spans="1:7" x14ac:dyDescent="0.3">
      <c r="A10" t="s">
        <v>20</v>
      </c>
      <c r="B10" t="s">
        <v>21</v>
      </c>
      <c r="C10">
        <v>0.32579999999999998</v>
      </c>
      <c r="D10">
        <v>0.03</v>
      </c>
      <c r="E10">
        <v>30910000000</v>
      </c>
      <c r="F10">
        <v>473310000</v>
      </c>
      <c r="G10">
        <v>94880000000</v>
      </c>
    </row>
    <row r="11" spans="1:7" x14ac:dyDescent="0.3">
      <c r="A11" t="s">
        <v>22</v>
      </c>
      <c r="B11" t="s">
        <v>23</v>
      </c>
      <c r="C11">
        <v>52.77</v>
      </c>
      <c r="D11">
        <v>0.92</v>
      </c>
      <c r="E11">
        <v>13320000000</v>
      </c>
      <c r="F11">
        <v>385760000</v>
      </c>
      <c r="G11">
        <v>252490000</v>
      </c>
    </row>
    <row r="12" spans="1:7" x14ac:dyDescent="0.3">
      <c r="A12" t="s">
        <v>24</v>
      </c>
      <c r="B12" t="s">
        <v>25</v>
      </c>
      <c r="C12">
        <v>6.9400000000000003E-2</v>
      </c>
      <c r="D12">
        <v>0.41</v>
      </c>
      <c r="E12">
        <v>10780000000</v>
      </c>
      <c r="F12">
        <v>572720000</v>
      </c>
      <c r="G12">
        <v>155300000000</v>
      </c>
    </row>
    <row r="13" spans="1:7" x14ac:dyDescent="0.3">
      <c r="A13" t="s">
        <v>26</v>
      </c>
      <c r="B13" t="s">
        <v>27</v>
      </c>
      <c r="C13">
        <v>9.75</v>
      </c>
      <c r="D13">
        <v>0</v>
      </c>
      <c r="E13">
        <v>8970000000</v>
      </c>
      <c r="F13">
        <v>515230</v>
      </c>
      <c r="G13">
        <v>920070000</v>
      </c>
    </row>
    <row r="14" spans="1:7" x14ac:dyDescent="0.3">
      <c r="A14" t="s">
        <v>28</v>
      </c>
      <c r="B14" t="s">
        <v>29</v>
      </c>
      <c r="C14">
        <v>455.74</v>
      </c>
      <c r="D14">
        <v>0.22</v>
      </c>
      <c r="E14">
        <v>7650000000</v>
      </c>
      <c r="F14">
        <v>285310000</v>
      </c>
      <c r="G14">
        <v>16790000</v>
      </c>
    </row>
    <row r="15" spans="1:7" x14ac:dyDescent="0.3">
      <c r="A15" t="s">
        <v>30</v>
      </c>
      <c r="B15" t="s">
        <v>31</v>
      </c>
      <c r="C15">
        <v>354.89</v>
      </c>
      <c r="D15">
        <v>0.57999999999999996</v>
      </c>
      <c r="E15">
        <v>6660000000</v>
      </c>
      <c r="F15">
        <v>93100000</v>
      </c>
      <c r="G15">
        <v>18780000</v>
      </c>
    </row>
    <row r="16" spans="1:7" x14ac:dyDescent="0.3">
      <c r="A16" t="s">
        <v>32</v>
      </c>
      <c r="B16" t="s">
        <v>33</v>
      </c>
      <c r="C16">
        <v>0.16869999999999999</v>
      </c>
      <c r="D16">
        <v>0.85</v>
      </c>
      <c r="E16">
        <v>6160000000</v>
      </c>
      <c r="F16">
        <v>318820000</v>
      </c>
      <c r="G16">
        <v>36500000000</v>
      </c>
    </row>
    <row r="17" spans="1:7" x14ac:dyDescent="0.3">
      <c r="A17" t="s">
        <v>34</v>
      </c>
      <c r="B17" t="s">
        <v>35</v>
      </c>
      <c r="C17">
        <v>0.7379</v>
      </c>
      <c r="D17">
        <v>0.2</v>
      </c>
      <c r="E17">
        <v>268070000</v>
      </c>
      <c r="F17">
        <v>28930000</v>
      </c>
      <c r="G17">
        <v>363280000</v>
      </c>
    </row>
    <row r="18" spans="1:7" x14ac:dyDescent="0.3">
      <c r="A18" t="s">
        <v>36</v>
      </c>
      <c r="B18" t="s">
        <v>37</v>
      </c>
      <c r="C18">
        <v>6.2700000000000006E-2</v>
      </c>
      <c r="D18">
        <v>0.82</v>
      </c>
      <c r="E18">
        <v>266440000</v>
      </c>
      <c r="F18">
        <v>6580000</v>
      </c>
      <c r="G18">
        <v>990100000000000</v>
      </c>
    </row>
    <row r="19" spans="1:7" x14ac:dyDescent="0.3">
      <c r="A19" t="s">
        <v>38</v>
      </c>
      <c r="B19" t="s">
        <v>39</v>
      </c>
      <c r="C19">
        <v>6.2600000000000003E-2</v>
      </c>
      <c r="D19">
        <v>0.18</v>
      </c>
      <c r="E19">
        <v>258040000</v>
      </c>
      <c r="F19">
        <v>4450000</v>
      </c>
      <c r="G19">
        <v>987030000000000</v>
      </c>
    </row>
    <row r="20" spans="1:7" x14ac:dyDescent="0.3">
      <c r="A20" t="s">
        <v>40</v>
      </c>
      <c r="B20" t="s">
        <v>40</v>
      </c>
      <c r="C20">
        <v>1.05</v>
      </c>
      <c r="D20">
        <v>1.45</v>
      </c>
      <c r="E20">
        <v>255660000</v>
      </c>
      <c r="F20">
        <v>53800000</v>
      </c>
      <c r="G20">
        <v>241380000</v>
      </c>
    </row>
    <row r="21" spans="1:7" x14ac:dyDescent="0.3">
      <c r="A21" t="s">
        <v>41</v>
      </c>
      <c r="B21" t="s">
        <v>42</v>
      </c>
      <c r="C21">
        <v>0.50609999999999999</v>
      </c>
      <c r="D21">
        <v>0.46</v>
      </c>
      <c r="E21">
        <v>255370000</v>
      </c>
      <c r="F21">
        <v>25600000</v>
      </c>
      <c r="G21">
        <v>504560000</v>
      </c>
    </row>
    <row r="22" spans="1:7" x14ac:dyDescent="0.3">
      <c r="A22" t="s">
        <v>43</v>
      </c>
      <c r="B22" t="s">
        <v>44</v>
      </c>
      <c r="C22">
        <v>12.58</v>
      </c>
      <c r="D22">
        <v>0.47</v>
      </c>
      <c r="E22">
        <v>252500000</v>
      </c>
      <c r="F22">
        <v>8450000</v>
      </c>
      <c r="G22">
        <v>20060000</v>
      </c>
    </row>
    <row r="23" spans="1:7" x14ac:dyDescent="0.3">
      <c r="A23" t="s">
        <v>45</v>
      </c>
      <c r="B23" t="s">
        <v>46</v>
      </c>
      <c r="C23">
        <v>0.13880000000000001</v>
      </c>
      <c r="D23">
        <v>0.4</v>
      </c>
      <c r="E23">
        <v>251970000</v>
      </c>
      <c r="F23">
        <v>4730000</v>
      </c>
      <c r="G23">
        <v>1810000000</v>
      </c>
    </row>
    <row r="24" spans="1:7" x14ac:dyDescent="0.3">
      <c r="A24" t="s">
        <v>47</v>
      </c>
      <c r="B24" t="s">
        <v>48</v>
      </c>
      <c r="C24">
        <v>1.44</v>
      </c>
      <c r="D24">
        <v>0.39</v>
      </c>
      <c r="E24">
        <v>247330000</v>
      </c>
      <c r="F24">
        <v>24390000</v>
      </c>
      <c r="G24">
        <v>171750000</v>
      </c>
    </row>
    <row r="25" spans="1:7" x14ac:dyDescent="0.3">
      <c r="A25" t="s">
        <v>49</v>
      </c>
      <c r="B25" t="s">
        <v>50</v>
      </c>
      <c r="C25">
        <v>2.07E-2</v>
      </c>
      <c r="D25">
        <v>0.02</v>
      </c>
      <c r="E25">
        <v>244880000</v>
      </c>
      <c r="F25">
        <v>14140000</v>
      </c>
      <c r="G25">
        <v>11820000000</v>
      </c>
    </row>
    <row r="26" spans="1:7" x14ac:dyDescent="0.3">
      <c r="A26" t="s">
        <v>51</v>
      </c>
      <c r="B26" t="s">
        <v>52</v>
      </c>
      <c r="C26">
        <v>5.28E-2</v>
      </c>
      <c r="D26">
        <v>0.42</v>
      </c>
      <c r="E26">
        <v>244180000</v>
      </c>
      <c r="F26">
        <v>33610000</v>
      </c>
      <c r="G26">
        <v>87990000000000</v>
      </c>
    </row>
    <row r="27" spans="1:7" x14ac:dyDescent="0.3">
      <c r="A27" t="s">
        <v>53</v>
      </c>
      <c r="B27" t="s">
        <v>54</v>
      </c>
      <c r="C27">
        <v>13.16</v>
      </c>
      <c r="D27">
        <v>0.13</v>
      </c>
      <c r="E27">
        <v>230930000</v>
      </c>
      <c r="F27">
        <v>3640000</v>
      </c>
      <c r="G27">
        <v>17530000</v>
      </c>
    </row>
    <row r="28" spans="1:7" x14ac:dyDescent="0.3">
      <c r="A28" t="s">
        <v>55</v>
      </c>
      <c r="B28" t="s">
        <v>56</v>
      </c>
      <c r="C28">
        <v>4.2799999999999998E-2</v>
      </c>
      <c r="D28">
        <v>0.84</v>
      </c>
      <c r="E28">
        <v>223520000</v>
      </c>
      <c r="F28">
        <v>87220000</v>
      </c>
      <c r="G28">
        <v>5220000000</v>
      </c>
    </row>
    <row r="29" spans="1:7" x14ac:dyDescent="0.3">
      <c r="A29" t="s">
        <v>57</v>
      </c>
      <c r="B29" t="s">
        <v>58</v>
      </c>
      <c r="C29">
        <v>0.20019999999999999</v>
      </c>
      <c r="D29">
        <v>0.34</v>
      </c>
      <c r="E29">
        <v>218720000</v>
      </c>
      <c r="F29">
        <v>4940000</v>
      </c>
      <c r="G29">
        <v>1090000000</v>
      </c>
    </row>
    <row r="30" spans="1:7" x14ac:dyDescent="0.3">
      <c r="A30" t="s">
        <v>59</v>
      </c>
      <c r="B30" t="s">
        <v>60</v>
      </c>
      <c r="C30">
        <v>4.3E-3</v>
      </c>
      <c r="D30">
        <v>0.92</v>
      </c>
      <c r="E30">
        <v>212680000</v>
      </c>
      <c r="F30">
        <v>7320000</v>
      </c>
      <c r="G30">
        <v>49440000000</v>
      </c>
    </row>
    <row r="31" spans="1:7" x14ac:dyDescent="0.3">
      <c r="A31" t="s">
        <v>61</v>
      </c>
      <c r="B31" t="s">
        <v>62</v>
      </c>
      <c r="C31">
        <v>0.1062</v>
      </c>
      <c r="D31">
        <v>0.19</v>
      </c>
      <c r="E31">
        <v>212500000</v>
      </c>
      <c r="F31">
        <v>10400000</v>
      </c>
      <c r="G31">
        <v>2000000000</v>
      </c>
    </row>
    <row r="32" spans="1:7" x14ac:dyDescent="0.3">
      <c r="A32" t="s">
        <v>63</v>
      </c>
      <c r="B32" t="s">
        <v>64</v>
      </c>
      <c r="C32">
        <v>1.2699999999999999E-2</v>
      </c>
      <c r="D32">
        <v>0.02</v>
      </c>
      <c r="E32">
        <v>8850000000</v>
      </c>
      <c r="F32">
        <v>27530000</v>
      </c>
      <c r="G32">
        <v>694570000000</v>
      </c>
    </row>
    <row r="33" spans="1:7" x14ac:dyDescent="0.3">
      <c r="A33" t="s">
        <v>65</v>
      </c>
      <c r="B33" t="s">
        <v>66</v>
      </c>
      <c r="C33">
        <v>0.7339</v>
      </c>
      <c r="D33">
        <v>1.1299999999999999</v>
      </c>
      <c r="E33">
        <v>8160000000</v>
      </c>
      <c r="F33">
        <v>236610</v>
      </c>
      <c r="G33">
        <v>11120000000</v>
      </c>
    </row>
    <row r="34" spans="1:7" x14ac:dyDescent="0.3">
      <c r="A34" t="s">
        <v>67</v>
      </c>
      <c r="B34" t="s">
        <v>68</v>
      </c>
      <c r="C34">
        <v>1.1399999999999999</v>
      </c>
      <c r="D34">
        <v>0</v>
      </c>
      <c r="E34">
        <v>2150000000</v>
      </c>
      <c r="F34">
        <v>540150</v>
      </c>
      <c r="G34">
        <v>1880000000</v>
      </c>
    </row>
    <row r="35" spans="1:7" x14ac:dyDescent="0.3">
      <c r="A35" t="s">
        <v>69</v>
      </c>
      <c r="B35" t="s">
        <v>69</v>
      </c>
      <c r="C35">
        <v>5.1799999999999999E-2</v>
      </c>
      <c r="D35">
        <v>0.03</v>
      </c>
      <c r="E35">
        <v>1590000000</v>
      </c>
      <c r="F35">
        <v>36270000</v>
      </c>
      <c r="G35">
        <v>898230000000000</v>
      </c>
    </row>
    <row r="36" spans="1:7" x14ac:dyDescent="0.3">
      <c r="A36" t="s">
        <v>70</v>
      </c>
      <c r="B36" t="s">
        <v>71</v>
      </c>
      <c r="C36">
        <v>0.99519999999999997</v>
      </c>
      <c r="D36">
        <v>0.06</v>
      </c>
      <c r="E36">
        <v>1250000000</v>
      </c>
      <c r="F36">
        <v>587510</v>
      </c>
      <c r="G36">
        <v>1260000000</v>
      </c>
    </row>
    <row r="37" spans="1:7" x14ac:dyDescent="0.3">
      <c r="A37" t="s">
        <v>72</v>
      </c>
      <c r="B37" t="s">
        <v>72</v>
      </c>
      <c r="C37">
        <v>1</v>
      </c>
      <c r="D37">
        <v>0.01</v>
      </c>
      <c r="E37">
        <v>1110000000</v>
      </c>
      <c r="F37">
        <v>14040000</v>
      </c>
      <c r="G37">
        <v>1110000000</v>
      </c>
    </row>
    <row r="38" spans="1:7" x14ac:dyDescent="0.3">
      <c r="A38" t="s">
        <v>73</v>
      </c>
      <c r="B38" t="s">
        <v>74</v>
      </c>
      <c r="C38">
        <v>0.1946</v>
      </c>
      <c r="D38">
        <v>1.1399999999999999</v>
      </c>
      <c r="E38">
        <v>867730000</v>
      </c>
      <c r="F38">
        <v>14480000</v>
      </c>
      <c r="G38">
        <v>4450000000</v>
      </c>
    </row>
    <row r="39" spans="1:7" x14ac:dyDescent="0.3">
      <c r="A39" t="s">
        <v>75</v>
      </c>
      <c r="B39" t="s">
        <v>76</v>
      </c>
      <c r="C39">
        <v>3.55</v>
      </c>
      <c r="D39">
        <v>0.1</v>
      </c>
      <c r="E39">
        <v>797050000</v>
      </c>
      <c r="F39">
        <v>2130000</v>
      </c>
      <c r="G39">
        <v>224060000</v>
      </c>
    </row>
    <row r="40" spans="1:7" x14ac:dyDescent="0.3">
      <c r="A40" t="s">
        <v>77</v>
      </c>
      <c r="B40" t="s">
        <v>78</v>
      </c>
      <c r="C40">
        <v>8.2500000000000004E-2</v>
      </c>
      <c r="D40">
        <v>0.08</v>
      </c>
      <c r="E40">
        <v>649330000</v>
      </c>
      <c r="F40">
        <v>11920000</v>
      </c>
      <c r="G40">
        <v>7860000000</v>
      </c>
    </row>
    <row r="41" spans="1:7" x14ac:dyDescent="0.3">
      <c r="A41" t="s">
        <v>79</v>
      </c>
      <c r="B41" t="s">
        <v>79</v>
      </c>
      <c r="C41">
        <v>0.99829999999999997</v>
      </c>
      <c r="D41">
        <v>0.01</v>
      </c>
      <c r="E41">
        <v>647910000</v>
      </c>
      <c r="F41">
        <v>1350000</v>
      </c>
      <c r="G41">
        <v>649000000</v>
      </c>
    </row>
    <row r="42" spans="1:7" x14ac:dyDescent="0.3">
      <c r="A42" t="s">
        <v>80</v>
      </c>
      <c r="B42" t="s">
        <v>81</v>
      </c>
      <c r="C42">
        <v>0.99929999999999997</v>
      </c>
      <c r="D42">
        <v>0</v>
      </c>
      <c r="E42">
        <v>556020000</v>
      </c>
      <c r="F42">
        <v>36490</v>
      </c>
      <c r="G42">
        <v>556380000</v>
      </c>
    </row>
    <row r="43" spans="1:7" x14ac:dyDescent="0.3">
      <c r="A43" t="s">
        <v>82</v>
      </c>
      <c r="B43" t="s">
        <v>83</v>
      </c>
      <c r="C43">
        <v>1</v>
      </c>
      <c r="D43">
        <v>0.02</v>
      </c>
      <c r="E43">
        <v>518340000</v>
      </c>
      <c r="F43">
        <v>23780000</v>
      </c>
      <c r="G43">
        <v>517030000</v>
      </c>
    </row>
    <row r="44" spans="1:7" x14ac:dyDescent="0.3">
      <c r="A44" t="s">
        <v>84</v>
      </c>
      <c r="B44" t="s">
        <v>85</v>
      </c>
      <c r="C44">
        <v>0.99950000000000006</v>
      </c>
      <c r="D44">
        <v>0.01</v>
      </c>
      <c r="E44">
        <v>501100000</v>
      </c>
      <c r="F44">
        <v>5610</v>
      </c>
      <c r="G44">
        <v>501350000</v>
      </c>
    </row>
    <row r="45" spans="1:7" x14ac:dyDescent="0.3">
      <c r="A45" t="s">
        <v>86</v>
      </c>
      <c r="B45" t="s">
        <v>87</v>
      </c>
      <c r="C45">
        <v>0.15809999999999999</v>
      </c>
      <c r="D45">
        <v>0.16</v>
      </c>
      <c r="E45">
        <v>395370000</v>
      </c>
      <c r="F45">
        <v>14190000</v>
      </c>
      <c r="G45">
        <v>2500000000</v>
      </c>
    </row>
    <row r="46" spans="1:7" x14ac:dyDescent="0.3">
      <c r="A46" t="s">
        <v>88</v>
      </c>
      <c r="B46" t="s">
        <v>89</v>
      </c>
      <c r="C46">
        <v>5.9999999999999995E-4</v>
      </c>
      <c r="D46">
        <v>0.02</v>
      </c>
      <c r="E46">
        <v>260640000</v>
      </c>
      <c r="F46">
        <v>917.45</v>
      </c>
      <c r="G46">
        <v>414400000000</v>
      </c>
    </row>
    <row r="47" spans="1:7" x14ac:dyDescent="0.3">
      <c r="A47" t="s">
        <v>90</v>
      </c>
      <c r="B47" t="s">
        <v>91</v>
      </c>
      <c r="C47">
        <v>3.5999999999999999E-3</v>
      </c>
      <c r="D47">
        <v>0.11</v>
      </c>
      <c r="E47">
        <v>58580000</v>
      </c>
      <c r="F47">
        <v>2210000</v>
      </c>
      <c r="G47">
        <v>16380000000</v>
      </c>
    </row>
    <row r="48" spans="1:7" x14ac:dyDescent="0.3">
      <c r="A48" t="s">
        <v>92</v>
      </c>
      <c r="B48" t="s">
        <v>93</v>
      </c>
      <c r="C48">
        <v>0.42949999999999999</v>
      </c>
      <c r="D48">
        <v>0.59</v>
      </c>
      <c r="E48">
        <v>58250000</v>
      </c>
      <c r="F48">
        <v>5170000</v>
      </c>
      <c r="G48">
        <v>135600000</v>
      </c>
    </row>
    <row r="49" spans="1:7" x14ac:dyDescent="0.3">
      <c r="A49" t="s">
        <v>94</v>
      </c>
      <c r="B49" t="s">
        <v>95</v>
      </c>
      <c r="C49">
        <v>5.7799999999999997E-2</v>
      </c>
      <c r="D49">
        <v>0.31</v>
      </c>
      <c r="E49">
        <v>57820000</v>
      </c>
      <c r="F49">
        <v>3140000</v>
      </c>
      <c r="G49">
        <v>999990000</v>
      </c>
    </row>
    <row r="50" spans="1:7" x14ac:dyDescent="0.3">
      <c r="A50" t="s">
        <v>96</v>
      </c>
      <c r="B50" t="s">
        <v>97</v>
      </c>
      <c r="C50">
        <v>2.3800000000000002E-2</v>
      </c>
      <c r="D50">
        <v>0.43</v>
      </c>
      <c r="E50">
        <v>57720000</v>
      </c>
      <c r="F50">
        <v>7340000</v>
      </c>
      <c r="G50">
        <v>2420000000</v>
      </c>
    </row>
    <row r="51" spans="1:7" x14ac:dyDescent="0.3">
      <c r="A51" t="s">
        <v>98</v>
      </c>
      <c r="B51" t="s">
        <v>99</v>
      </c>
      <c r="C51">
        <v>0.04</v>
      </c>
      <c r="D51">
        <v>0.09</v>
      </c>
      <c r="E51">
        <v>56390000</v>
      </c>
      <c r="F51">
        <v>5970000</v>
      </c>
      <c r="G51">
        <v>1400000000</v>
      </c>
    </row>
    <row r="52" spans="1:7" x14ac:dyDescent="0.3">
      <c r="A52" t="s">
        <v>100</v>
      </c>
      <c r="B52" t="s">
        <v>101</v>
      </c>
      <c r="C52">
        <v>9.3100000000000002E-2</v>
      </c>
      <c r="D52">
        <v>1.03</v>
      </c>
      <c r="E52">
        <v>55980000</v>
      </c>
      <c r="F52">
        <v>4240000</v>
      </c>
    </row>
    <row r="53" spans="1:7" x14ac:dyDescent="0.3">
      <c r="A53" t="s">
        <v>102</v>
      </c>
      <c r="B53" t="s">
        <v>103</v>
      </c>
      <c r="C53">
        <v>0.29160000000000003</v>
      </c>
      <c r="D53">
        <v>0.27</v>
      </c>
      <c r="E53">
        <v>55420000</v>
      </c>
      <c r="F53">
        <v>1150000</v>
      </c>
      <c r="G53">
        <v>190000000</v>
      </c>
    </row>
    <row r="54" spans="1:7" x14ac:dyDescent="0.3">
      <c r="A54" t="s">
        <v>104</v>
      </c>
      <c r="B54" t="s">
        <v>105</v>
      </c>
      <c r="C54">
        <v>2.95</v>
      </c>
      <c r="D54">
        <v>0.36</v>
      </c>
      <c r="E54">
        <v>54950000</v>
      </c>
      <c r="F54">
        <v>2350000</v>
      </c>
      <c r="G54">
        <v>18590000</v>
      </c>
    </row>
    <row r="55" spans="1:7" x14ac:dyDescent="0.3">
      <c r="A55" t="s">
        <v>106</v>
      </c>
      <c r="B55" t="s">
        <v>107</v>
      </c>
      <c r="C55">
        <v>0.27189999999999998</v>
      </c>
      <c r="D55">
        <v>0.76</v>
      </c>
      <c r="E55">
        <v>54510000</v>
      </c>
      <c r="F55">
        <v>24540000</v>
      </c>
      <c r="G55">
        <v>200500000</v>
      </c>
    </row>
    <row r="56" spans="1:7" x14ac:dyDescent="0.3">
      <c r="A56" t="s">
        <v>108</v>
      </c>
      <c r="B56" t="s">
        <v>109</v>
      </c>
      <c r="C56">
        <v>8.0000000000000004E-4</v>
      </c>
      <c r="D56">
        <v>0.14000000000000001</v>
      </c>
      <c r="E56">
        <v>54570000</v>
      </c>
      <c r="F56">
        <v>7470000</v>
      </c>
      <c r="G56">
        <v>68990000000</v>
      </c>
    </row>
    <row r="57" spans="1:7" x14ac:dyDescent="0.3">
      <c r="A57" t="s">
        <v>110</v>
      </c>
      <c r="B57" t="s">
        <v>111</v>
      </c>
      <c r="C57">
        <v>0.19450000000000001</v>
      </c>
      <c r="D57">
        <v>0.39</v>
      </c>
      <c r="E57">
        <v>54060000</v>
      </c>
      <c r="F57">
        <v>2500000</v>
      </c>
      <c r="G57">
        <v>277810000</v>
      </c>
    </row>
    <row r="58" spans="1:7" x14ac:dyDescent="0.3">
      <c r="A58" t="s">
        <v>112</v>
      </c>
      <c r="B58" t="s">
        <v>113</v>
      </c>
      <c r="C58">
        <v>0.1736</v>
      </c>
      <c r="D58">
        <v>0.01</v>
      </c>
      <c r="E58">
        <v>53740000</v>
      </c>
      <c r="F58">
        <v>7520000</v>
      </c>
      <c r="G58">
        <v>309580000</v>
      </c>
    </row>
    <row r="59" spans="1:7" x14ac:dyDescent="0.3">
      <c r="A59" t="s">
        <v>114</v>
      </c>
      <c r="B59" t="s">
        <v>115</v>
      </c>
      <c r="C59">
        <v>0.40310000000000001</v>
      </c>
      <c r="D59">
        <v>0.13</v>
      </c>
      <c r="E59">
        <v>53710000</v>
      </c>
      <c r="F59">
        <v>230710</v>
      </c>
      <c r="G59">
        <v>133240000</v>
      </c>
    </row>
    <row r="60" spans="1:7" x14ac:dyDescent="0.3">
      <c r="A60" t="s">
        <v>116</v>
      </c>
      <c r="B60" t="s">
        <v>117</v>
      </c>
      <c r="C60">
        <v>7.3000000000000001E-3</v>
      </c>
      <c r="D60">
        <v>0.09</v>
      </c>
      <c r="E60">
        <v>53790000</v>
      </c>
      <c r="F60">
        <v>582150</v>
      </c>
      <c r="G60">
        <v>7410000000</v>
      </c>
    </row>
    <row r="61" spans="1:7" x14ac:dyDescent="0.3">
      <c r="A61" t="s">
        <v>118</v>
      </c>
      <c r="B61" t="s">
        <v>119</v>
      </c>
      <c r="C61">
        <v>4.8999999999999998E-3</v>
      </c>
      <c r="D61">
        <v>0.12</v>
      </c>
      <c r="E61">
        <v>53410000</v>
      </c>
      <c r="F61">
        <v>1800000</v>
      </c>
      <c r="G61">
        <v>10800000000</v>
      </c>
    </row>
    <row r="62" spans="1:7" x14ac:dyDescent="0.3">
      <c r="A62" t="s">
        <v>120</v>
      </c>
      <c r="B62" t="s">
        <v>121</v>
      </c>
      <c r="C62">
        <v>200.13</v>
      </c>
      <c r="D62">
        <v>0.23</v>
      </c>
      <c r="E62">
        <v>38940000</v>
      </c>
      <c r="F62">
        <v>2810000</v>
      </c>
      <c r="G62">
        <v>194590</v>
      </c>
    </row>
    <row r="63" spans="1:7" x14ac:dyDescent="0.3">
      <c r="A63" t="s">
        <v>122</v>
      </c>
      <c r="B63" t="s">
        <v>123</v>
      </c>
      <c r="C63">
        <v>3.8899999999999997E-2</v>
      </c>
      <c r="D63">
        <v>0.24</v>
      </c>
      <c r="E63">
        <v>38920000</v>
      </c>
      <c r="F63">
        <v>7410000</v>
      </c>
      <c r="G63">
        <v>999840000</v>
      </c>
    </row>
    <row r="64" spans="1:7" x14ac:dyDescent="0.3">
      <c r="A64" t="s">
        <v>124</v>
      </c>
      <c r="B64" t="s">
        <v>125</v>
      </c>
      <c r="C64">
        <v>5.04E-2</v>
      </c>
      <c r="D64">
        <v>1.96</v>
      </c>
      <c r="E64">
        <v>38900000</v>
      </c>
      <c r="F64">
        <v>3020000</v>
      </c>
      <c r="G64">
        <v>772400000</v>
      </c>
    </row>
    <row r="65" spans="1:7" x14ac:dyDescent="0.3">
      <c r="A65" t="s">
        <v>126</v>
      </c>
      <c r="B65" t="s">
        <v>127</v>
      </c>
      <c r="C65">
        <v>0.47439999999999999</v>
      </c>
      <c r="D65">
        <v>0.66</v>
      </c>
      <c r="E65">
        <v>38890000</v>
      </c>
      <c r="F65">
        <v>138940</v>
      </c>
      <c r="G65">
        <v>81970000</v>
      </c>
    </row>
    <row r="66" spans="1:7" x14ac:dyDescent="0.3">
      <c r="A66" t="s">
        <v>128</v>
      </c>
      <c r="B66" t="s">
        <v>129</v>
      </c>
      <c r="C66">
        <v>3.5000000000000001E-3</v>
      </c>
      <c r="D66">
        <v>0.81</v>
      </c>
      <c r="E66">
        <v>38830000</v>
      </c>
      <c r="F66">
        <v>8600000</v>
      </c>
      <c r="G66">
        <v>11150000000</v>
      </c>
    </row>
    <row r="67" spans="1:7" x14ac:dyDescent="0.3">
      <c r="A67" t="s">
        <v>130</v>
      </c>
      <c r="B67" t="s">
        <v>131</v>
      </c>
      <c r="C67">
        <v>1.5100000000000001E-2</v>
      </c>
      <c r="D67">
        <v>1.01</v>
      </c>
      <c r="E67">
        <v>38730000</v>
      </c>
      <c r="F67">
        <v>5440000</v>
      </c>
      <c r="G67">
        <v>2560000000</v>
      </c>
    </row>
    <row r="68" spans="1:7" x14ac:dyDescent="0.3">
      <c r="A68" t="s">
        <v>132</v>
      </c>
      <c r="B68" t="s">
        <v>133</v>
      </c>
      <c r="C68">
        <v>7.9899999999999999E-2</v>
      </c>
      <c r="D68">
        <v>0.1</v>
      </c>
      <c r="E68">
        <v>38620000</v>
      </c>
      <c r="F68">
        <v>7220000</v>
      </c>
      <c r="G68">
        <v>390560000000000</v>
      </c>
    </row>
    <row r="69" spans="1:7" x14ac:dyDescent="0.3">
      <c r="A69" t="s">
        <v>134</v>
      </c>
      <c r="B69" t="s">
        <v>135</v>
      </c>
      <c r="C69">
        <v>0.99950000000000006</v>
      </c>
      <c r="D69">
        <v>0</v>
      </c>
      <c r="E69">
        <v>38620000</v>
      </c>
      <c r="F69">
        <v>692530</v>
      </c>
      <c r="G69">
        <v>38640000</v>
      </c>
    </row>
    <row r="70" spans="1:7" x14ac:dyDescent="0.3">
      <c r="A70" t="s">
        <v>136</v>
      </c>
      <c r="B70" t="s">
        <v>137</v>
      </c>
      <c r="C70">
        <v>3.8999999999999998E-3</v>
      </c>
      <c r="D70">
        <v>0.28999999999999998</v>
      </c>
      <c r="E70">
        <v>38550000</v>
      </c>
      <c r="F70">
        <v>4290000</v>
      </c>
      <c r="G70">
        <v>9990000000</v>
      </c>
    </row>
    <row r="71" spans="1:7" x14ac:dyDescent="0.3">
      <c r="A71" t="s">
        <v>138</v>
      </c>
      <c r="B71" t="s">
        <v>139</v>
      </c>
      <c r="C71">
        <v>7.0000000000000007E-2</v>
      </c>
      <c r="D71">
        <v>0.66</v>
      </c>
      <c r="E71">
        <v>38460000</v>
      </c>
      <c r="F71">
        <v>3450000</v>
      </c>
      <c r="G71">
        <v>549560000</v>
      </c>
    </row>
    <row r="72" spans="1:7" x14ac:dyDescent="0.3">
      <c r="A72" t="s">
        <v>140</v>
      </c>
      <c r="B72" t="s">
        <v>141</v>
      </c>
      <c r="C72">
        <v>1.1499999999999999</v>
      </c>
      <c r="D72">
        <v>0.01</v>
      </c>
      <c r="E72">
        <v>38180000</v>
      </c>
      <c r="F72">
        <v>5360000</v>
      </c>
      <c r="G72">
        <v>33130000</v>
      </c>
    </row>
    <row r="73" spans="1:7" x14ac:dyDescent="0.3">
      <c r="A73" t="s">
        <v>142</v>
      </c>
      <c r="B73" t="s">
        <v>143</v>
      </c>
      <c r="C73">
        <v>0.26400000000000001</v>
      </c>
      <c r="D73">
        <v>1.98</v>
      </c>
      <c r="E73">
        <v>38100000</v>
      </c>
      <c r="F73">
        <v>16650000</v>
      </c>
      <c r="G73">
        <v>144270000</v>
      </c>
    </row>
    <row r="74" spans="1:7" x14ac:dyDescent="0.3">
      <c r="A74" t="s">
        <v>144</v>
      </c>
      <c r="B74" t="s">
        <v>145</v>
      </c>
      <c r="C74">
        <v>6.2799999999999995E-2</v>
      </c>
      <c r="D74">
        <v>0.03</v>
      </c>
      <c r="E74">
        <v>37890000</v>
      </c>
      <c r="F74">
        <v>2010000</v>
      </c>
      <c r="G74">
        <v>603760000</v>
      </c>
    </row>
    <row r="75" spans="1:7" x14ac:dyDescent="0.3">
      <c r="A75" t="s">
        <v>146</v>
      </c>
      <c r="B75" t="s">
        <v>147</v>
      </c>
      <c r="C75">
        <v>13.52</v>
      </c>
      <c r="D75">
        <v>0.18</v>
      </c>
      <c r="E75">
        <v>37840000</v>
      </c>
      <c r="F75">
        <v>7750000</v>
      </c>
      <c r="G75">
        <v>2790000</v>
      </c>
    </row>
    <row r="76" spans="1:7" x14ac:dyDescent="0.3">
      <c r="A76" t="s">
        <v>148</v>
      </c>
      <c r="B76" t="s">
        <v>149</v>
      </c>
      <c r="C76">
        <v>3.5299999999999998E-2</v>
      </c>
      <c r="D76">
        <v>0.06</v>
      </c>
      <c r="E76">
        <v>37760000</v>
      </c>
      <c r="F76">
        <v>581340</v>
      </c>
      <c r="G76">
        <v>1060000000</v>
      </c>
    </row>
    <row r="77" spans="1:7" x14ac:dyDescent="0.3">
      <c r="A77" t="s">
        <v>150</v>
      </c>
      <c r="B77" t="s">
        <v>151</v>
      </c>
      <c r="C77">
        <v>1E-4</v>
      </c>
      <c r="D77">
        <v>4.53</v>
      </c>
      <c r="E77">
        <v>28430000</v>
      </c>
      <c r="F77">
        <v>9280000</v>
      </c>
      <c r="G77">
        <v>420690000000</v>
      </c>
    </row>
    <row r="78" spans="1:7" x14ac:dyDescent="0.3">
      <c r="A78" t="s">
        <v>152</v>
      </c>
      <c r="B78" t="s">
        <v>153</v>
      </c>
      <c r="C78">
        <v>1.2699999999999999E-2</v>
      </c>
      <c r="D78">
        <v>0.28000000000000003</v>
      </c>
      <c r="E78">
        <v>28590000</v>
      </c>
      <c r="F78">
        <v>667300</v>
      </c>
      <c r="G78">
        <v>2250000000</v>
      </c>
    </row>
    <row r="79" spans="1:7" x14ac:dyDescent="0.3">
      <c r="A79" t="s">
        <v>154</v>
      </c>
      <c r="B79" t="s">
        <v>155</v>
      </c>
      <c r="C79">
        <v>2.5600000000000001E-2</v>
      </c>
      <c r="D79">
        <v>0.27</v>
      </c>
      <c r="E79">
        <v>28590000</v>
      </c>
      <c r="F79">
        <v>3740</v>
      </c>
      <c r="G79">
        <v>1110000000</v>
      </c>
    </row>
    <row r="80" spans="1:7" x14ac:dyDescent="0.3">
      <c r="A80" t="s">
        <v>156</v>
      </c>
      <c r="B80" t="s">
        <v>156</v>
      </c>
      <c r="C80">
        <v>0.99929999999999997</v>
      </c>
      <c r="D80">
        <v>0</v>
      </c>
      <c r="E80">
        <v>28580000</v>
      </c>
      <c r="G80">
        <v>28600000</v>
      </c>
    </row>
    <row r="81" spans="1:7" x14ac:dyDescent="0.3">
      <c r="A81" t="s">
        <v>157</v>
      </c>
      <c r="B81" t="s">
        <v>158</v>
      </c>
      <c r="C81">
        <v>27.67</v>
      </c>
      <c r="D81">
        <v>0.2</v>
      </c>
      <c r="E81">
        <v>28540000</v>
      </c>
      <c r="F81">
        <v>1040000</v>
      </c>
      <c r="G81">
        <v>1030000</v>
      </c>
    </row>
    <row r="82" spans="1:7" x14ac:dyDescent="0.3">
      <c r="A82" t="s">
        <v>159</v>
      </c>
      <c r="B82" t="s">
        <v>160</v>
      </c>
      <c r="C82">
        <v>7.5300000000000006E-2</v>
      </c>
      <c r="D82">
        <v>0.77</v>
      </c>
      <c r="E82">
        <v>28410000</v>
      </c>
      <c r="F82">
        <v>175590</v>
      </c>
      <c r="G82">
        <v>536420000000000</v>
      </c>
    </row>
    <row r="83" spans="1:7" x14ac:dyDescent="0.3">
      <c r="A83" t="s">
        <v>161</v>
      </c>
      <c r="B83" t="s">
        <v>162</v>
      </c>
      <c r="C83">
        <v>0</v>
      </c>
      <c r="D83">
        <v>0.09</v>
      </c>
      <c r="E83">
        <v>28350000</v>
      </c>
      <c r="F83">
        <v>6900000</v>
      </c>
      <c r="G83">
        <v>993700000000</v>
      </c>
    </row>
    <row r="84" spans="1:7" x14ac:dyDescent="0.3">
      <c r="A84" t="s">
        <v>163</v>
      </c>
      <c r="B84" t="s">
        <v>164</v>
      </c>
      <c r="C84">
        <v>5.0000000000000001E-4</v>
      </c>
      <c r="D84">
        <v>0.18</v>
      </c>
      <c r="E84">
        <v>28220000</v>
      </c>
      <c r="F84">
        <v>2490000</v>
      </c>
      <c r="G84">
        <v>56020000000</v>
      </c>
    </row>
    <row r="85" spans="1:7" x14ac:dyDescent="0.3">
      <c r="A85" t="s">
        <v>165</v>
      </c>
      <c r="B85" t="s">
        <v>166</v>
      </c>
      <c r="C85">
        <v>5.6800000000000003E-2</v>
      </c>
      <c r="D85">
        <v>0.47</v>
      </c>
      <c r="E85">
        <v>28210000</v>
      </c>
      <c r="F85">
        <v>3250000</v>
      </c>
      <c r="G85">
        <v>496990000</v>
      </c>
    </row>
    <row r="86" spans="1:7" x14ac:dyDescent="0.3">
      <c r="A86" t="s">
        <v>167</v>
      </c>
      <c r="B86" t="s">
        <v>168</v>
      </c>
      <c r="C86">
        <v>0.11070000000000001</v>
      </c>
      <c r="D86">
        <v>0.69</v>
      </c>
      <c r="E86">
        <v>28010000</v>
      </c>
      <c r="F86">
        <v>3840000</v>
      </c>
      <c r="G86">
        <v>253000000</v>
      </c>
    </row>
    <row r="87" spans="1:7" x14ac:dyDescent="0.3">
      <c r="A87" t="s">
        <v>169</v>
      </c>
      <c r="B87" t="s">
        <v>170</v>
      </c>
      <c r="C87">
        <v>5.8599999999999999E-2</v>
      </c>
      <c r="D87">
        <v>0.33</v>
      </c>
      <c r="E87">
        <v>27990000</v>
      </c>
      <c r="F87">
        <v>2220000</v>
      </c>
      <c r="G87">
        <v>477760000</v>
      </c>
    </row>
    <row r="88" spans="1:7" x14ac:dyDescent="0.3">
      <c r="A88" t="s">
        <v>171</v>
      </c>
      <c r="B88" t="s">
        <v>172</v>
      </c>
      <c r="C88">
        <v>113.71</v>
      </c>
      <c r="D88">
        <v>0.75</v>
      </c>
      <c r="E88">
        <v>27900000</v>
      </c>
      <c r="F88">
        <v>74140000</v>
      </c>
      <c r="G88">
        <v>245360</v>
      </c>
    </row>
    <row r="89" spans="1:7" x14ac:dyDescent="0.3">
      <c r="A89" t="s">
        <v>173</v>
      </c>
      <c r="B89" t="s">
        <v>174</v>
      </c>
      <c r="C89">
        <v>0.11799999999999999</v>
      </c>
      <c r="D89">
        <v>0.51</v>
      </c>
      <c r="E89">
        <v>27890000</v>
      </c>
      <c r="F89">
        <v>663280000</v>
      </c>
      <c r="G89">
        <v>236300000</v>
      </c>
    </row>
    <row r="90" spans="1:7" x14ac:dyDescent="0.3">
      <c r="A90" t="s">
        <v>175</v>
      </c>
      <c r="B90" t="s">
        <v>176</v>
      </c>
      <c r="C90">
        <v>0.26240000000000002</v>
      </c>
      <c r="D90">
        <v>0.37</v>
      </c>
      <c r="E90">
        <v>27830000</v>
      </c>
      <c r="F90">
        <v>2800000</v>
      </c>
      <c r="G90">
        <v>106040000</v>
      </c>
    </row>
    <row r="91" spans="1:7" x14ac:dyDescent="0.3">
      <c r="A91" t="s">
        <v>177</v>
      </c>
      <c r="B91" t="s">
        <v>178</v>
      </c>
      <c r="C91">
        <v>1.11E-2</v>
      </c>
      <c r="D91">
        <v>0.13</v>
      </c>
      <c r="E91">
        <v>27810000</v>
      </c>
      <c r="F91">
        <v>1650000</v>
      </c>
      <c r="G91">
        <v>2500000000</v>
      </c>
    </row>
    <row r="92" spans="1:7" x14ac:dyDescent="0.3">
      <c r="A92" t="s">
        <v>179</v>
      </c>
      <c r="B92" t="s">
        <v>180</v>
      </c>
      <c r="C92">
        <v>2.83</v>
      </c>
      <c r="D92">
        <v>7.0000000000000007E-2</v>
      </c>
      <c r="E92">
        <v>20820000</v>
      </c>
      <c r="F92">
        <v>1620000</v>
      </c>
      <c r="G92">
        <v>7340000</v>
      </c>
    </row>
    <row r="93" spans="1:7" x14ac:dyDescent="0.3">
      <c r="A93" t="s">
        <v>181</v>
      </c>
      <c r="B93" t="s">
        <v>182</v>
      </c>
      <c r="C93">
        <v>8.48E-2</v>
      </c>
      <c r="D93">
        <v>0.17</v>
      </c>
      <c r="E93">
        <v>20630000</v>
      </c>
      <c r="F93">
        <v>2950000</v>
      </c>
      <c r="G93">
        <v>243230000</v>
      </c>
    </row>
    <row r="94" spans="1:7" x14ac:dyDescent="0.3">
      <c r="A94" t="s">
        <v>183</v>
      </c>
      <c r="B94" t="s">
        <v>183</v>
      </c>
      <c r="C94">
        <v>6.6E-3</v>
      </c>
      <c r="D94">
        <v>0.91</v>
      </c>
      <c r="E94">
        <v>20600000</v>
      </c>
      <c r="F94">
        <v>8520000</v>
      </c>
      <c r="G94">
        <v>3110000000</v>
      </c>
    </row>
    <row r="95" spans="1:7" x14ac:dyDescent="0.3">
      <c r="A95" t="s">
        <v>184</v>
      </c>
      <c r="B95" t="s">
        <v>185</v>
      </c>
      <c r="C95">
        <v>819.57</v>
      </c>
      <c r="D95">
        <v>7.0000000000000007E-2</v>
      </c>
      <c r="E95">
        <v>20580000</v>
      </c>
      <c r="F95">
        <v>1140000</v>
      </c>
      <c r="G95">
        <v>25110</v>
      </c>
    </row>
    <row r="96" spans="1:7" x14ac:dyDescent="0.3">
      <c r="A96" t="s">
        <v>186</v>
      </c>
      <c r="B96" t="s">
        <v>187</v>
      </c>
      <c r="C96">
        <v>1.42</v>
      </c>
      <c r="D96">
        <v>0.46</v>
      </c>
      <c r="E96">
        <v>20520000</v>
      </c>
      <c r="F96">
        <v>786200</v>
      </c>
      <c r="G96">
        <v>14410000</v>
      </c>
    </row>
    <row r="97" spans="1:7" x14ac:dyDescent="0.3">
      <c r="A97" t="s">
        <v>188</v>
      </c>
      <c r="B97" t="s">
        <v>189</v>
      </c>
      <c r="C97">
        <v>2.2000000000000001E-3</v>
      </c>
      <c r="D97">
        <v>0.62</v>
      </c>
      <c r="E97">
        <v>20490000</v>
      </c>
      <c r="F97">
        <v>951540</v>
      </c>
      <c r="G97">
        <v>9440000000</v>
      </c>
    </row>
    <row r="98" spans="1:7" x14ac:dyDescent="0.3">
      <c r="A98" t="s">
        <v>190</v>
      </c>
      <c r="B98" t="s">
        <v>191</v>
      </c>
      <c r="C98">
        <v>1</v>
      </c>
      <c r="D98">
        <v>0.01</v>
      </c>
      <c r="E98">
        <v>20440000</v>
      </c>
      <c r="F98">
        <v>4330000</v>
      </c>
      <c r="G98">
        <v>20360000</v>
      </c>
    </row>
    <row r="99" spans="1:7" x14ac:dyDescent="0.3">
      <c r="A99" t="s">
        <v>192</v>
      </c>
      <c r="B99" t="s">
        <v>193</v>
      </c>
      <c r="C99">
        <v>1211.4100000000001</v>
      </c>
      <c r="D99">
        <v>0.35</v>
      </c>
      <c r="E99">
        <v>20380000</v>
      </c>
      <c r="F99">
        <v>2040000</v>
      </c>
      <c r="G99">
        <v>16830</v>
      </c>
    </row>
    <row r="100" spans="1:7" x14ac:dyDescent="0.3">
      <c r="A100" t="s">
        <v>194</v>
      </c>
      <c r="B100" t="s">
        <v>195</v>
      </c>
      <c r="C100">
        <v>3.6600000000000001E-2</v>
      </c>
      <c r="D100">
        <v>0.09</v>
      </c>
      <c r="E100">
        <v>20290000</v>
      </c>
      <c r="F100">
        <v>2330000</v>
      </c>
      <c r="G100">
        <v>554190000</v>
      </c>
    </row>
    <row r="101" spans="1:7" x14ac:dyDescent="0.3">
      <c r="A101" t="s">
        <v>196</v>
      </c>
      <c r="B101" t="s">
        <v>197</v>
      </c>
      <c r="C101">
        <v>697.68</v>
      </c>
      <c r="D101">
        <v>0.08</v>
      </c>
      <c r="E101">
        <v>20290000</v>
      </c>
      <c r="F101">
        <v>152840</v>
      </c>
      <c r="G101">
        <v>29080</v>
      </c>
    </row>
    <row r="102" spans="1:7" x14ac:dyDescent="0.3">
      <c r="A102" t="s">
        <v>198</v>
      </c>
      <c r="B102" t="s">
        <v>199</v>
      </c>
      <c r="C102">
        <v>1.6999999999999999E-3</v>
      </c>
      <c r="D102">
        <v>0.1</v>
      </c>
      <c r="E102">
        <v>20150000</v>
      </c>
      <c r="F102">
        <v>13630</v>
      </c>
      <c r="G102">
        <v>11750000000</v>
      </c>
    </row>
    <row r="103" spans="1:7" x14ac:dyDescent="0.3">
      <c r="A103" t="s">
        <v>200</v>
      </c>
      <c r="B103" t="s">
        <v>201</v>
      </c>
      <c r="C103">
        <v>8.0399999999999999E-2</v>
      </c>
      <c r="D103">
        <v>0.38</v>
      </c>
      <c r="E103">
        <v>20110000</v>
      </c>
      <c r="F103">
        <v>4120000</v>
      </c>
      <c r="G103">
        <v>250000000</v>
      </c>
    </row>
    <row r="104" spans="1:7" x14ac:dyDescent="0.3">
      <c r="A104" t="s">
        <v>202</v>
      </c>
      <c r="B104" t="s">
        <v>203</v>
      </c>
      <c r="C104">
        <v>0.12959999999999999</v>
      </c>
      <c r="D104">
        <v>0.18</v>
      </c>
      <c r="E104">
        <v>20090000</v>
      </c>
      <c r="F104">
        <v>432160</v>
      </c>
      <c r="G104">
        <v>155000000</v>
      </c>
    </row>
    <row r="105" spans="1:7" x14ac:dyDescent="0.3">
      <c r="A105" t="s">
        <v>204</v>
      </c>
      <c r="B105" t="s">
        <v>205</v>
      </c>
      <c r="C105">
        <v>5.7999999999999996E-3</v>
      </c>
      <c r="D105">
        <v>0.1</v>
      </c>
      <c r="E105">
        <v>20060000</v>
      </c>
      <c r="F105">
        <v>10970</v>
      </c>
      <c r="G105">
        <v>3460000000</v>
      </c>
    </row>
    <row r="106" spans="1:7" x14ac:dyDescent="0.3">
      <c r="A106" t="s">
        <v>206</v>
      </c>
      <c r="B106" t="s">
        <v>207</v>
      </c>
      <c r="C106">
        <v>4.2000000000000003E-2</v>
      </c>
      <c r="D106">
        <v>0.09</v>
      </c>
      <c r="E106">
        <v>20010000</v>
      </c>
      <c r="F106">
        <v>430340</v>
      </c>
      <c r="G106">
        <v>477120000</v>
      </c>
    </row>
    <row r="107" spans="1:7" x14ac:dyDescent="0.3">
      <c r="A107" t="s">
        <v>208</v>
      </c>
      <c r="B107" t="s">
        <v>209</v>
      </c>
      <c r="C107">
        <v>8.0000000000000002E-3</v>
      </c>
      <c r="D107">
        <v>2.62</v>
      </c>
      <c r="E107">
        <v>16010000</v>
      </c>
      <c r="F107">
        <v>1280000</v>
      </c>
      <c r="G107">
        <v>1990000000</v>
      </c>
    </row>
    <row r="108" spans="1:7" x14ac:dyDescent="0.3">
      <c r="A108" t="s">
        <v>210</v>
      </c>
      <c r="B108" t="s">
        <v>210</v>
      </c>
      <c r="C108">
        <v>2.2700000000000001E-2</v>
      </c>
      <c r="D108">
        <v>0.92</v>
      </c>
      <c r="E108">
        <v>15890000</v>
      </c>
      <c r="F108">
        <v>1670000</v>
      </c>
      <c r="G108">
        <v>700000000</v>
      </c>
    </row>
    <row r="109" spans="1:7" x14ac:dyDescent="0.3">
      <c r="A109" t="s">
        <v>211</v>
      </c>
      <c r="B109" t="s">
        <v>212</v>
      </c>
      <c r="C109">
        <v>8.2000000000000007E-3</v>
      </c>
      <c r="D109">
        <v>0.83</v>
      </c>
      <c r="E109">
        <v>15880000</v>
      </c>
      <c r="F109">
        <v>1700000</v>
      </c>
      <c r="G109">
        <v>1940000000</v>
      </c>
    </row>
    <row r="110" spans="1:7" x14ac:dyDescent="0.3">
      <c r="A110" t="s">
        <v>213</v>
      </c>
      <c r="B110" t="s">
        <v>214</v>
      </c>
      <c r="C110">
        <v>8.9999999999999998E-4</v>
      </c>
      <c r="D110">
        <v>0.01</v>
      </c>
      <c r="E110">
        <v>15860000</v>
      </c>
      <c r="F110">
        <v>101.67</v>
      </c>
      <c r="G110">
        <v>16700000000</v>
      </c>
    </row>
    <row r="111" spans="1:7" x14ac:dyDescent="0.3">
      <c r="A111" t="s">
        <v>215</v>
      </c>
      <c r="B111" t="s">
        <v>216</v>
      </c>
      <c r="C111">
        <v>4.0000000000000002E-4</v>
      </c>
      <c r="D111">
        <v>0.05</v>
      </c>
      <c r="E111">
        <v>15840000</v>
      </c>
      <c r="F111">
        <v>15290</v>
      </c>
      <c r="G111">
        <v>36250000000</v>
      </c>
    </row>
    <row r="112" spans="1:7" x14ac:dyDescent="0.3">
      <c r="A112" t="s">
        <v>217</v>
      </c>
      <c r="B112" t="s">
        <v>218</v>
      </c>
      <c r="C112">
        <v>2.0000000000000001E-4</v>
      </c>
      <c r="D112">
        <v>0.06</v>
      </c>
      <c r="E112">
        <v>15820000</v>
      </c>
      <c r="F112">
        <v>3020000</v>
      </c>
      <c r="G112">
        <v>66430000000</v>
      </c>
    </row>
    <row r="113" spans="1:7" x14ac:dyDescent="0.3">
      <c r="A113" t="s">
        <v>219</v>
      </c>
      <c r="B113" t="s">
        <v>220</v>
      </c>
      <c r="C113">
        <v>1.7299999999999999E-2</v>
      </c>
      <c r="D113">
        <v>0.53</v>
      </c>
      <c r="E113">
        <v>15800000</v>
      </c>
      <c r="F113">
        <v>916720</v>
      </c>
      <c r="G113">
        <v>915200000</v>
      </c>
    </row>
    <row r="114" spans="1:7" x14ac:dyDescent="0.3">
      <c r="A114" t="s">
        <v>221</v>
      </c>
      <c r="B114" t="s">
        <v>222</v>
      </c>
      <c r="C114">
        <v>3.6400000000000002E-2</v>
      </c>
      <c r="D114">
        <v>0.05</v>
      </c>
      <c r="E114">
        <v>15790000</v>
      </c>
      <c r="F114">
        <v>6260000</v>
      </c>
      <c r="G114">
        <v>434300000</v>
      </c>
    </row>
    <row r="115" spans="1:7" x14ac:dyDescent="0.3">
      <c r="A115" t="s">
        <v>223</v>
      </c>
      <c r="B115" t="s">
        <v>224</v>
      </c>
      <c r="C115">
        <v>187.9</v>
      </c>
      <c r="D115">
        <v>1.04</v>
      </c>
      <c r="E115">
        <v>15660000</v>
      </c>
      <c r="F115">
        <v>1740000</v>
      </c>
      <c r="G115">
        <v>83360</v>
      </c>
    </row>
    <row r="116" spans="1:7" x14ac:dyDescent="0.3">
      <c r="A116" t="s">
        <v>225</v>
      </c>
      <c r="B116" t="s">
        <v>225</v>
      </c>
      <c r="C116">
        <v>7.9000000000000008E-3</v>
      </c>
      <c r="D116">
        <v>4.3499999999999996</v>
      </c>
      <c r="E116">
        <v>15580000</v>
      </c>
      <c r="F116">
        <v>1000000</v>
      </c>
      <c r="G116">
        <v>1970000000</v>
      </c>
    </row>
    <row r="117" spans="1:7" x14ac:dyDescent="0.3">
      <c r="A117" t="s">
        <v>226</v>
      </c>
      <c r="B117" t="s">
        <v>227</v>
      </c>
      <c r="C117">
        <v>6.7699999999999996E-2</v>
      </c>
      <c r="D117">
        <v>0.88</v>
      </c>
      <c r="E117">
        <v>15570000</v>
      </c>
      <c r="F117">
        <v>3100000</v>
      </c>
      <c r="G117">
        <v>230000000</v>
      </c>
    </row>
    <row r="118" spans="1:7" x14ac:dyDescent="0.3">
      <c r="A118" t="s">
        <v>228</v>
      </c>
      <c r="B118" t="s">
        <v>229</v>
      </c>
      <c r="C118">
        <v>3.2000000000000002E-3</v>
      </c>
      <c r="D118">
        <v>0.54</v>
      </c>
      <c r="E118">
        <v>15550000</v>
      </c>
      <c r="F118">
        <v>1770000</v>
      </c>
      <c r="G118">
        <v>4830000000</v>
      </c>
    </row>
    <row r="119" spans="1:7" x14ac:dyDescent="0.3">
      <c r="A119" t="s">
        <v>230</v>
      </c>
      <c r="B119" t="s">
        <v>231</v>
      </c>
      <c r="C119">
        <v>0.40110000000000001</v>
      </c>
      <c r="D119">
        <v>0.2</v>
      </c>
      <c r="E119">
        <v>15540000</v>
      </c>
      <c r="F119">
        <v>84600</v>
      </c>
      <c r="G119">
        <v>38740000</v>
      </c>
    </row>
    <row r="120" spans="1:7" x14ac:dyDescent="0.3">
      <c r="A120" t="s">
        <v>232</v>
      </c>
      <c r="B120" t="s">
        <v>233</v>
      </c>
      <c r="C120">
        <v>0.11890000000000001</v>
      </c>
      <c r="D120">
        <v>0.92</v>
      </c>
      <c r="E120">
        <v>15350000</v>
      </c>
      <c r="F120">
        <v>1810000</v>
      </c>
      <c r="G120">
        <v>129100000</v>
      </c>
    </row>
    <row r="121" spans="1:7" x14ac:dyDescent="0.3">
      <c r="A121" t="s">
        <v>234</v>
      </c>
      <c r="B121" t="s">
        <v>235</v>
      </c>
      <c r="C121">
        <v>8.0000000000000004E-4</v>
      </c>
      <c r="D121">
        <v>0.24</v>
      </c>
      <c r="E121">
        <v>15300000</v>
      </c>
      <c r="F121">
        <v>301660</v>
      </c>
      <c r="G121">
        <v>19200000000</v>
      </c>
    </row>
    <row r="122" spans="1:7" x14ac:dyDescent="0.3">
      <c r="A122" t="s">
        <v>236</v>
      </c>
      <c r="B122" t="s">
        <v>237</v>
      </c>
      <c r="C122">
        <v>1.6799999999999999E-2</v>
      </c>
      <c r="D122">
        <v>0.78</v>
      </c>
      <c r="E122">
        <v>12160000</v>
      </c>
      <c r="F122">
        <v>474110</v>
      </c>
      <c r="G122">
        <v>724750000</v>
      </c>
    </row>
    <row r="123" spans="1:7" x14ac:dyDescent="0.3">
      <c r="A123" t="s">
        <v>238</v>
      </c>
      <c r="B123" t="s">
        <v>239</v>
      </c>
      <c r="C123">
        <v>0.64429999999999998</v>
      </c>
      <c r="D123">
        <v>1.23</v>
      </c>
      <c r="E123">
        <v>12150000</v>
      </c>
      <c r="F123">
        <v>249700</v>
      </c>
      <c r="G123">
        <v>18860000</v>
      </c>
    </row>
    <row r="124" spans="1:7" x14ac:dyDescent="0.3">
      <c r="A124" t="s">
        <v>240</v>
      </c>
      <c r="B124" t="s">
        <v>241</v>
      </c>
      <c r="C124">
        <v>16.260000000000002</v>
      </c>
      <c r="D124">
        <v>0.17</v>
      </c>
      <c r="E124">
        <v>12090000</v>
      </c>
      <c r="F124">
        <v>249160</v>
      </c>
      <c r="G124">
        <v>743820</v>
      </c>
    </row>
    <row r="125" spans="1:7" x14ac:dyDescent="0.3">
      <c r="A125" t="s">
        <v>242</v>
      </c>
      <c r="B125" t="s">
        <v>243</v>
      </c>
      <c r="C125">
        <v>1.21E-2</v>
      </c>
      <c r="D125">
        <v>0.05</v>
      </c>
      <c r="E125">
        <v>12050000</v>
      </c>
      <c r="F125">
        <v>247740</v>
      </c>
      <c r="G125">
        <v>998150000</v>
      </c>
    </row>
    <row r="126" spans="1:7" x14ac:dyDescent="0.3">
      <c r="A126" t="s">
        <v>244</v>
      </c>
      <c r="B126" t="s">
        <v>245</v>
      </c>
      <c r="C126">
        <v>0.20369999999999999</v>
      </c>
      <c r="D126">
        <v>0.26</v>
      </c>
      <c r="E126">
        <v>12030000</v>
      </c>
      <c r="F126">
        <v>3220000</v>
      </c>
      <c r="G126">
        <v>59070000</v>
      </c>
    </row>
    <row r="127" spans="1:7" x14ac:dyDescent="0.3">
      <c r="A127" t="s">
        <v>246</v>
      </c>
      <c r="B127" t="s">
        <v>247</v>
      </c>
      <c r="C127">
        <v>6.8999999999999999E-3</v>
      </c>
      <c r="D127">
        <v>0</v>
      </c>
      <c r="E127">
        <v>12010000</v>
      </c>
      <c r="F127">
        <v>45910</v>
      </c>
      <c r="G127">
        <v>1740000000</v>
      </c>
    </row>
    <row r="128" spans="1:7" x14ac:dyDescent="0.3">
      <c r="A128" t="s">
        <v>248</v>
      </c>
      <c r="B128" t="s">
        <v>249</v>
      </c>
      <c r="C128">
        <v>92.99</v>
      </c>
      <c r="D128">
        <v>0.77</v>
      </c>
      <c r="E128">
        <v>11960000</v>
      </c>
      <c r="F128">
        <v>8480000</v>
      </c>
      <c r="G128">
        <v>128690</v>
      </c>
    </row>
    <row r="129" spans="1:7" x14ac:dyDescent="0.3">
      <c r="A129" t="s">
        <v>250</v>
      </c>
      <c r="B129" t="s">
        <v>250</v>
      </c>
      <c r="C129">
        <v>0.99690000000000001</v>
      </c>
      <c r="D129">
        <v>0.24</v>
      </c>
      <c r="E129">
        <v>11960000</v>
      </c>
      <c r="F129">
        <v>7690</v>
      </c>
      <c r="G129">
        <v>12000000</v>
      </c>
    </row>
    <row r="130" spans="1:7" x14ac:dyDescent="0.3">
      <c r="A130" t="s">
        <v>251</v>
      </c>
      <c r="B130" t="s">
        <v>252</v>
      </c>
      <c r="C130">
        <v>75.760000000000005</v>
      </c>
      <c r="D130">
        <v>0.13</v>
      </c>
      <c r="E130">
        <v>11940000</v>
      </c>
      <c r="F130">
        <v>1050000</v>
      </c>
      <c r="G130">
        <v>157710</v>
      </c>
    </row>
    <row r="131" spans="1:7" x14ac:dyDescent="0.3">
      <c r="A131" t="s">
        <v>253</v>
      </c>
      <c r="B131" t="s">
        <v>254</v>
      </c>
      <c r="C131">
        <v>2.5</v>
      </c>
      <c r="D131">
        <v>0.25</v>
      </c>
      <c r="E131">
        <v>11930000</v>
      </c>
      <c r="F131">
        <v>2320000</v>
      </c>
      <c r="G131">
        <v>4750000</v>
      </c>
    </row>
    <row r="132" spans="1:7" x14ac:dyDescent="0.3">
      <c r="A132" t="s">
        <v>255</v>
      </c>
      <c r="B132" t="s">
        <v>256</v>
      </c>
      <c r="C132">
        <v>1.29E-2</v>
      </c>
      <c r="D132">
        <v>0.24</v>
      </c>
      <c r="E132">
        <v>11860000</v>
      </c>
      <c r="F132">
        <v>17920</v>
      </c>
      <c r="G132">
        <v>916780000</v>
      </c>
    </row>
    <row r="133" spans="1:7" x14ac:dyDescent="0.3">
      <c r="A133" t="s">
        <v>257</v>
      </c>
      <c r="B133" t="s">
        <v>258</v>
      </c>
      <c r="C133">
        <v>1.1900000000000001E-2</v>
      </c>
      <c r="D133">
        <v>3.06</v>
      </c>
      <c r="E133">
        <v>11820000</v>
      </c>
      <c r="F133">
        <v>3350000</v>
      </c>
      <c r="G133">
        <v>997210000</v>
      </c>
    </row>
    <row r="134" spans="1:7" x14ac:dyDescent="0.3">
      <c r="A134" t="s">
        <v>259</v>
      </c>
      <c r="B134" t="s">
        <v>260</v>
      </c>
      <c r="C134">
        <v>6.3200000000000006E-2</v>
      </c>
      <c r="D134">
        <v>0</v>
      </c>
      <c r="E134">
        <v>11780000</v>
      </c>
      <c r="G134">
        <v>186490000</v>
      </c>
    </row>
    <row r="135" spans="1:7" x14ac:dyDescent="0.3">
      <c r="A135" t="s">
        <v>261</v>
      </c>
      <c r="B135" t="s">
        <v>261</v>
      </c>
      <c r="C135">
        <v>0.77969999999999995</v>
      </c>
      <c r="D135">
        <v>0.15</v>
      </c>
      <c r="E135">
        <v>11780000</v>
      </c>
      <c r="F135">
        <v>477190</v>
      </c>
      <c r="G135">
        <v>15110000</v>
      </c>
    </row>
    <row r="136" spans="1:7" x14ac:dyDescent="0.3">
      <c r="A136" t="s">
        <v>262</v>
      </c>
      <c r="B136" t="s">
        <v>263</v>
      </c>
      <c r="C136">
        <v>310.04000000000002</v>
      </c>
      <c r="D136">
        <v>0.62</v>
      </c>
      <c r="E136">
        <v>11760000</v>
      </c>
      <c r="F136">
        <v>9000000</v>
      </c>
      <c r="G136">
        <v>37930</v>
      </c>
    </row>
    <row r="137" spans="1:7" x14ac:dyDescent="0.3">
      <c r="A137" t="s">
        <v>264</v>
      </c>
      <c r="B137" t="s">
        <v>265</v>
      </c>
      <c r="C137">
        <v>1.3599999999999999E-2</v>
      </c>
      <c r="D137">
        <v>0.84</v>
      </c>
      <c r="E137">
        <v>9550000</v>
      </c>
      <c r="F137">
        <v>76.069999999999993</v>
      </c>
      <c r="G137">
        <v>703720000</v>
      </c>
    </row>
    <row r="138" spans="1:7" x14ac:dyDescent="0.3">
      <c r="A138" t="s">
        <v>266</v>
      </c>
      <c r="B138" t="s">
        <v>267</v>
      </c>
      <c r="C138">
        <v>8.0000000000000002E-3</v>
      </c>
      <c r="D138">
        <v>0.42</v>
      </c>
      <c r="E138">
        <v>9430000</v>
      </c>
      <c r="F138">
        <v>1240000</v>
      </c>
      <c r="G138">
        <v>1170000000</v>
      </c>
    </row>
    <row r="139" spans="1:7" x14ac:dyDescent="0.3">
      <c r="A139" t="s">
        <v>268</v>
      </c>
      <c r="B139" t="s">
        <v>269</v>
      </c>
      <c r="C139">
        <v>0.94079999999999997</v>
      </c>
      <c r="D139">
        <v>0.12</v>
      </c>
      <c r="E139">
        <v>9400000</v>
      </c>
      <c r="G139">
        <v>10000000</v>
      </c>
    </row>
    <row r="140" spans="1:7" x14ac:dyDescent="0.3">
      <c r="A140" t="s">
        <v>270</v>
      </c>
      <c r="B140" t="s">
        <v>271</v>
      </c>
      <c r="C140">
        <v>5.1999999999999998E-3</v>
      </c>
      <c r="D140">
        <v>0.02</v>
      </c>
      <c r="E140">
        <v>9340000</v>
      </c>
      <c r="F140">
        <v>1330000</v>
      </c>
      <c r="G140">
        <v>1780000000</v>
      </c>
    </row>
    <row r="141" spans="1:7" x14ac:dyDescent="0.3">
      <c r="A141" t="s">
        <v>272</v>
      </c>
      <c r="B141" t="s">
        <v>273</v>
      </c>
      <c r="C141">
        <v>1.8800000000000001E-2</v>
      </c>
      <c r="D141">
        <v>0.05</v>
      </c>
      <c r="E141">
        <v>9290000</v>
      </c>
      <c r="F141">
        <v>1000000</v>
      </c>
      <c r="G141">
        <v>493580000</v>
      </c>
    </row>
    <row r="142" spans="1:7" x14ac:dyDescent="0.3">
      <c r="A142" t="s">
        <v>274</v>
      </c>
      <c r="B142" t="s">
        <v>275</v>
      </c>
      <c r="C142">
        <v>0.1129</v>
      </c>
      <c r="D142">
        <v>0.12</v>
      </c>
      <c r="E142">
        <v>9260000</v>
      </c>
      <c r="G142">
        <v>82070000</v>
      </c>
    </row>
    <row r="143" spans="1:7" x14ac:dyDescent="0.3">
      <c r="A143" t="s">
        <v>276</v>
      </c>
      <c r="B143" t="s">
        <v>277</v>
      </c>
      <c r="C143">
        <v>1.6E-2</v>
      </c>
      <c r="D143">
        <v>0.21</v>
      </c>
      <c r="E143">
        <v>9210000</v>
      </c>
      <c r="F143">
        <v>256790</v>
      </c>
      <c r="G143">
        <v>574370000</v>
      </c>
    </row>
    <row r="144" spans="1:7" x14ac:dyDescent="0.3">
      <c r="A144" t="s">
        <v>278</v>
      </c>
      <c r="B144" t="s">
        <v>279</v>
      </c>
      <c r="C144">
        <v>189.95</v>
      </c>
      <c r="D144">
        <v>0.19</v>
      </c>
      <c r="E144">
        <v>9200000</v>
      </c>
      <c r="F144">
        <v>6070000</v>
      </c>
      <c r="G144">
        <v>48480</v>
      </c>
    </row>
    <row r="145" spans="1:7" x14ac:dyDescent="0.3">
      <c r="A145" t="s">
        <v>280</v>
      </c>
      <c r="B145" t="s">
        <v>281</v>
      </c>
      <c r="C145">
        <v>2.0799999999999999E-2</v>
      </c>
      <c r="D145">
        <v>0.02</v>
      </c>
      <c r="E145">
        <v>9200000</v>
      </c>
      <c r="F145">
        <v>2570000</v>
      </c>
      <c r="G145">
        <v>441620000</v>
      </c>
    </row>
    <row r="146" spans="1:7" x14ac:dyDescent="0.3">
      <c r="A146" t="s">
        <v>282</v>
      </c>
      <c r="B146" t="s">
        <v>283</v>
      </c>
      <c r="C146">
        <v>5.11E-2</v>
      </c>
      <c r="D146">
        <v>0.33</v>
      </c>
      <c r="E146">
        <v>9180000</v>
      </c>
      <c r="F146">
        <v>5090000</v>
      </c>
      <c r="G146">
        <v>179640000</v>
      </c>
    </row>
    <row r="147" spans="1:7" x14ac:dyDescent="0.3">
      <c r="A147" t="s">
        <v>284</v>
      </c>
      <c r="B147" t="s">
        <v>285</v>
      </c>
      <c r="C147">
        <v>3.2000000000000001E-2</v>
      </c>
      <c r="D147">
        <v>0.08</v>
      </c>
      <c r="E147">
        <v>9170000</v>
      </c>
      <c r="F147">
        <v>4110000</v>
      </c>
      <c r="G147">
        <v>286300000</v>
      </c>
    </row>
    <row r="148" spans="1:7" x14ac:dyDescent="0.3">
      <c r="A148" t="s">
        <v>286</v>
      </c>
      <c r="B148" t="s">
        <v>287</v>
      </c>
      <c r="C148">
        <v>1.06</v>
      </c>
      <c r="D148">
        <v>0.06</v>
      </c>
      <c r="E148">
        <v>9170000</v>
      </c>
      <c r="F148">
        <v>223200</v>
      </c>
      <c r="G148">
        <v>8610000</v>
      </c>
    </row>
    <row r="149" spans="1:7" x14ac:dyDescent="0.3">
      <c r="A149" t="s">
        <v>288</v>
      </c>
      <c r="B149" t="s">
        <v>289</v>
      </c>
      <c r="C149">
        <v>9.1999999999999998E-3</v>
      </c>
      <c r="D149">
        <v>0.85</v>
      </c>
      <c r="E149">
        <v>9180000</v>
      </c>
      <c r="F149">
        <v>7170000</v>
      </c>
      <c r="G149">
        <v>999940000</v>
      </c>
    </row>
    <row r="150" spans="1:7" x14ac:dyDescent="0.3">
      <c r="A150" t="s">
        <v>290</v>
      </c>
      <c r="B150" t="s">
        <v>291</v>
      </c>
      <c r="C150">
        <v>7.6E-3</v>
      </c>
      <c r="D150">
        <v>0.05</v>
      </c>
      <c r="E150">
        <v>9150000</v>
      </c>
      <c r="F150">
        <v>3070000</v>
      </c>
      <c r="G150">
        <v>1200000000</v>
      </c>
    </row>
    <row r="151" spans="1:7" x14ac:dyDescent="0.3">
      <c r="A151" t="s">
        <v>292</v>
      </c>
      <c r="B151" t="s">
        <v>293</v>
      </c>
      <c r="C151">
        <v>9.1999999999999998E-3</v>
      </c>
      <c r="D151">
        <v>0.08</v>
      </c>
      <c r="E151">
        <v>9150000</v>
      </c>
      <c r="F151">
        <v>463990</v>
      </c>
      <c r="G151">
        <v>999440000</v>
      </c>
    </row>
    <row r="152" spans="1:7" x14ac:dyDescent="0.3">
      <c r="A152" t="s">
        <v>294</v>
      </c>
      <c r="B152" t="s">
        <v>295</v>
      </c>
      <c r="C152">
        <v>1.21E-2</v>
      </c>
      <c r="D152">
        <v>3.01</v>
      </c>
      <c r="E152">
        <v>7420000</v>
      </c>
      <c r="F152">
        <v>2370000</v>
      </c>
      <c r="G152">
        <v>611510000</v>
      </c>
    </row>
    <row r="153" spans="1:7" x14ac:dyDescent="0.3">
      <c r="A153" t="s">
        <v>296</v>
      </c>
      <c r="B153" t="s">
        <v>297</v>
      </c>
      <c r="C153">
        <v>0.84689999999999999</v>
      </c>
      <c r="D153">
        <v>0.28000000000000003</v>
      </c>
      <c r="E153">
        <v>7390000</v>
      </c>
      <c r="F153">
        <v>3250000</v>
      </c>
      <c r="G153">
        <v>8730000</v>
      </c>
    </row>
    <row r="154" spans="1:7" x14ac:dyDescent="0.3">
      <c r="A154" t="s">
        <v>298</v>
      </c>
      <c r="B154" t="s">
        <v>299</v>
      </c>
      <c r="C154">
        <v>0.51459999999999995</v>
      </c>
      <c r="D154">
        <v>0.21</v>
      </c>
      <c r="E154">
        <v>7380000</v>
      </c>
      <c r="F154">
        <v>1530000</v>
      </c>
      <c r="G154">
        <v>14340000</v>
      </c>
    </row>
    <row r="155" spans="1:7" x14ac:dyDescent="0.3">
      <c r="A155" t="s">
        <v>300</v>
      </c>
      <c r="B155" t="s">
        <v>301</v>
      </c>
      <c r="C155">
        <v>93.78</v>
      </c>
      <c r="D155">
        <v>1.01</v>
      </c>
      <c r="E155">
        <v>7370000</v>
      </c>
      <c r="F155">
        <v>1870000</v>
      </c>
      <c r="G155">
        <v>78610</v>
      </c>
    </row>
    <row r="156" spans="1:7" x14ac:dyDescent="0.3">
      <c r="A156" t="s">
        <v>302</v>
      </c>
      <c r="B156" t="s">
        <v>303</v>
      </c>
      <c r="C156">
        <v>1.7999999999999999E-2</v>
      </c>
      <c r="D156">
        <v>0.03</v>
      </c>
      <c r="E156">
        <v>7370000</v>
      </c>
      <c r="F156">
        <v>3930000</v>
      </c>
      <c r="G156">
        <v>409110000</v>
      </c>
    </row>
    <row r="157" spans="1:7" x14ac:dyDescent="0.3">
      <c r="A157" t="s">
        <v>304</v>
      </c>
      <c r="B157" t="s">
        <v>304</v>
      </c>
      <c r="C157">
        <v>7.4000000000000003E-3</v>
      </c>
      <c r="D157">
        <v>0.99</v>
      </c>
      <c r="E157">
        <v>7340000</v>
      </c>
      <c r="F157">
        <v>539290</v>
      </c>
      <c r="G157">
        <v>999190000</v>
      </c>
    </row>
    <row r="158" spans="1:7" x14ac:dyDescent="0.3">
      <c r="A158" t="s">
        <v>305</v>
      </c>
      <c r="B158" t="s">
        <v>306</v>
      </c>
      <c r="C158">
        <v>108.07</v>
      </c>
      <c r="D158">
        <v>0.23</v>
      </c>
      <c r="E158">
        <v>7250000</v>
      </c>
      <c r="F158">
        <v>549860</v>
      </c>
      <c r="G158">
        <v>67120</v>
      </c>
    </row>
    <row r="159" spans="1:7" x14ac:dyDescent="0.3">
      <c r="A159" t="s">
        <v>307</v>
      </c>
      <c r="B159" t="s">
        <v>308</v>
      </c>
      <c r="C159">
        <v>64.97</v>
      </c>
      <c r="D159">
        <v>0.05</v>
      </c>
      <c r="E159">
        <v>7240000</v>
      </c>
      <c r="F159">
        <v>504730</v>
      </c>
      <c r="G159">
        <v>111490</v>
      </c>
    </row>
    <row r="160" spans="1:7" x14ac:dyDescent="0.3">
      <c r="A160" t="s">
        <v>309</v>
      </c>
      <c r="B160" t="s">
        <v>310</v>
      </c>
      <c r="C160">
        <v>0.60899999999999999</v>
      </c>
      <c r="D160">
        <v>0.01</v>
      </c>
      <c r="E160">
        <v>7230000</v>
      </c>
      <c r="F160">
        <v>326.52999999999997</v>
      </c>
      <c r="G160">
        <v>11880000</v>
      </c>
    </row>
    <row r="161" spans="1:7" x14ac:dyDescent="0.3">
      <c r="A161" t="s">
        <v>311</v>
      </c>
      <c r="B161" t="s">
        <v>312</v>
      </c>
      <c r="C161">
        <v>1.4999999999999999E-2</v>
      </c>
      <c r="D161">
        <v>0.24</v>
      </c>
      <c r="E161">
        <v>7230000</v>
      </c>
      <c r="F161">
        <v>1820000</v>
      </c>
      <c r="G161">
        <v>483330000</v>
      </c>
    </row>
    <row r="162" spans="1:7" x14ac:dyDescent="0.3">
      <c r="A162" t="s">
        <v>313</v>
      </c>
      <c r="B162" t="s">
        <v>314</v>
      </c>
      <c r="C162">
        <v>2.6200000000000001E-2</v>
      </c>
      <c r="D162">
        <v>0</v>
      </c>
      <c r="E162">
        <v>7190000</v>
      </c>
      <c r="G162">
        <v>274530000</v>
      </c>
    </row>
    <row r="163" spans="1:7" x14ac:dyDescent="0.3">
      <c r="A163" t="s">
        <v>315</v>
      </c>
      <c r="B163" t="s">
        <v>316</v>
      </c>
      <c r="C163">
        <v>8.0000000000000004E-4</v>
      </c>
      <c r="D163">
        <v>1.8</v>
      </c>
      <c r="E163">
        <v>7130000</v>
      </c>
      <c r="F163">
        <v>448520</v>
      </c>
      <c r="G163">
        <v>8390000000</v>
      </c>
    </row>
    <row r="164" spans="1:7" x14ac:dyDescent="0.3">
      <c r="A164" t="s">
        <v>317</v>
      </c>
      <c r="B164" t="s">
        <v>318</v>
      </c>
      <c r="C164">
        <v>0.10150000000000001</v>
      </c>
      <c r="D164">
        <v>1.23</v>
      </c>
      <c r="E164">
        <v>7080000</v>
      </c>
      <c r="F164">
        <v>384890</v>
      </c>
      <c r="G164">
        <v>69780000</v>
      </c>
    </row>
    <row r="165" spans="1:7" x14ac:dyDescent="0.3">
      <c r="A165" t="s">
        <v>319</v>
      </c>
      <c r="B165" t="s">
        <v>320</v>
      </c>
      <c r="C165">
        <v>1E-4</v>
      </c>
      <c r="D165">
        <v>1.07</v>
      </c>
      <c r="E165">
        <v>7080000</v>
      </c>
      <c r="F165">
        <v>18490</v>
      </c>
      <c r="G165">
        <v>102920000000</v>
      </c>
    </row>
    <row r="166" spans="1:7" x14ac:dyDescent="0.3">
      <c r="A166" t="s">
        <v>321</v>
      </c>
      <c r="B166" t="s">
        <v>322</v>
      </c>
      <c r="C166">
        <v>0.26919999999999999</v>
      </c>
      <c r="D166">
        <v>1.03</v>
      </c>
      <c r="E166">
        <v>7060000</v>
      </c>
      <c r="F166">
        <v>2390000</v>
      </c>
      <c r="G166">
        <v>26230000</v>
      </c>
    </row>
    <row r="167" spans="1:7" x14ac:dyDescent="0.3">
      <c r="A167" t="s">
        <v>323</v>
      </c>
      <c r="B167" t="s">
        <v>324</v>
      </c>
      <c r="C167">
        <v>9.5999999999999992E-3</v>
      </c>
      <c r="D167">
        <v>0.13</v>
      </c>
      <c r="E167">
        <v>5710000</v>
      </c>
      <c r="F167">
        <v>671970</v>
      </c>
      <c r="G167">
        <v>593560000</v>
      </c>
    </row>
    <row r="168" spans="1:7" x14ac:dyDescent="0.3">
      <c r="A168" t="s">
        <v>325</v>
      </c>
      <c r="B168" t="s">
        <v>326</v>
      </c>
      <c r="C168">
        <v>4.5999999999999999E-3</v>
      </c>
      <c r="D168">
        <v>0.78</v>
      </c>
      <c r="E168">
        <v>5710000</v>
      </c>
      <c r="F168">
        <v>1870000</v>
      </c>
      <c r="G168">
        <v>1240000000</v>
      </c>
    </row>
    <row r="169" spans="1:7" x14ac:dyDescent="0.3">
      <c r="A169" t="s">
        <v>327</v>
      </c>
      <c r="B169" t="s">
        <v>328</v>
      </c>
      <c r="C169">
        <v>0.1628</v>
      </c>
      <c r="D169">
        <v>0.02</v>
      </c>
      <c r="E169">
        <v>5710000</v>
      </c>
      <c r="F169">
        <v>221390</v>
      </c>
      <c r="G169">
        <v>35080000</v>
      </c>
    </row>
    <row r="170" spans="1:7" x14ac:dyDescent="0.3">
      <c r="A170" t="s">
        <v>329</v>
      </c>
      <c r="B170" t="s">
        <v>329</v>
      </c>
      <c r="C170">
        <v>0</v>
      </c>
      <c r="D170">
        <v>0.91</v>
      </c>
      <c r="E170">
        <v>5700000</v>
      </c>
      <c r="F170">
        <v>260720</v>
      </c>
      <c r="G170">
        <v>411670000000</v>
      </c>
    </row>
    <row r="171" spans="1:7" x14ac:dyDescent="0.3">
      <c r="A171" t="s">
        <v>330</v>
      </c>
      <c r="B171" t="s">
        <v>331</v>
      </c>
      <c r="C171">
        <v>9.3000000000000007</v>
      </c>
      <c r="D171">
        <v>0.08</v>
      </c>
      <c r="E171">
        <v>5680000</v>
      </c>
      <c r="F171">
        <v>19250000</v>
      </c>
      <c r="G171">
        <v>610760</v>
      </c>
    </row>
    <row r="172" spans="1:7" x14ac:dyDescent="0.3">
      <c r="A172" t="s">
        <v>332</v>
      </c>
      <c r="B172" t="s">
        <v>333</v>
      </c>
      <c r="C172">
        <v>8.9999999999999998E-4</v>
      </c>
      <c r="D172">
        <v>0.03</v>
      </c>
      <c r="E172">
        <v>5680000</v>
      </c>
      <c r="F172">
        <v>520190</v>
      </c>
      <c r="G172">
        <v>6230000000</v>
      </c>
    </row>
    <row r="173" spans="1:7" x14ac:dyDescent="0.3">
      <c r="A173" t="s">
        <v>334</v>
      </c>
      <c r="B173" t="s">
        <v>335</v>
      </c>
      <c r="C173">
        <v>3.44E-2</v>
      </c>
      <c r="D173">
        <v>0.01</v>
      </c>
      <c r="E173">
        <v>5670000</v>
      </c>
      <c r="F173">
        <v>9890</v>
      </c>
      <c r="G173">
        <v>165170000</v>
      </c>
    </row>
    <row r="174" spans="1:7" x14ac:dyDescent="0.3">
      <c r="A174" t="s">
        <v>336</v>
      </c>
      <c r="B174" t="s">
        <v>337</v>
      </c>
      <c r="C174">
        <v>0.24560000000000001</v>
      </c>
      <c r="D174">
        <v>0.01</v>
      </c>
      <c r="E174">
        <v>5670000</v>
      </c>
      <c r="F174">
        <v>243470</v>
      </c>
      <c r="G174">
        <v>23080000</v>
      </c>
    </row>
    <row r="175" spans="1:7" x14ac:dyDescent="0.3">
      <c r="A175" t="s">
        <v>338</v>
      </c>
      <c r="B175" t="s">
        <v>339</v>
      </c>
      <c r="C175">
        <v>9.4000000000000004E-3</v>
      </c>
      <c r="D175">
        <v>0.21</v>
      </c>
      <c r="E175">
        <v>5660000</v>
      </c>
      <c r="F175">
        <v>762630</v>
      </c>
      <c r="G175">
        <v>599390000</v>
      </c>
    </row>
    <row r="176" spans="1:7" x14ac:dyDescent="0.3">
      <c r="A176" t="s">
        <v>340</v>
      </c>
      <c r="B176" t="s">
        <v>341</v>
      </c>
      <c r="C176">
        <v>389.13</v>
      </c>
      <c r="D176">
        <v>0.47</v>
      </c>
      <c r="E176">
        <v>5660000</v>
      </c>
      <c r="F176">
        <v>3050000</v>
      </c>
      <c r="G176">
        <v>14550</v>
      </c>
    </row>
    <row r="177" spans="1:7" x14ac:dyDescent="0.3">
      <c r="A177" t="s">
        <v>342</v>
      </c>
      <c r="B177" t="s">
        <v>343</v>
      </c>
      <c r="C177">
        <v>7.6399999999999996E-2</v>
      </c>
      <c r="D177">
        <v>0.19</v>
      </c>
      <c r="E177">
        <v>5630000</v>
      </c>
      <c r="F177">
        <v>806990</v>
      </c>
      <c r="G177">
        <v>73730000</v>
      </c>
    </row>
    <row r="178" spans="1:7" x14ac:dyDescent="0.3">
      <c r="A178" t="s">
        <v>344</v>
      </c>
      <c r="B178" t="s">
        <v>345</v>
      </c>
      <c r="C178">
        <v>3.5999999999999997E-2</v>
      </c>
      <c r="D178">
        <v>0.56999999999999995</v>
      </c>
      <c r="E178">
        <v>5610000</v>
      </c>
      <c r="F178">
        <v>3830000</v>
      </c>
      <c r="G178">
        <v>156120000</v>
      </c>
    </row>
    <row r="179" spans="1:7" x14ac:dyDescent="0.3">
      <c r="A179" t="s">
        <v>346</v>
      </c>
      <c r="B179" t="s">
        <v>347</v>
      </c>
      <c r="C179">
        <v>0.13020000000000001</v>
      </c>
      <c r="D179">
        <v>0.31</v>
      </c>
      <c r="E179">
        <v>5600000</v>
      </c>
      <c r="F179">
        <v>3260000</v>
      </c>
      <c r="G179">
        <v>43050000</v>
      </c>
    </row>
    <row r="180" spans="1:7" x14ac:dyDescent="0.3">
      <c r="A180" t="s">
        <v>348</v>
      </c>
      <c r="B180" t="s">
        <v>349</v>
      </c>
      <c r="C180">
        <v>7.9000000000000008E-3</v>
      </c>
      <c r="D180">
        <v>0.01</v>
      </c>
      <c r="E180">
        <v>5590000</v>
      </c>
      <c r="F180">
        <v>5090000</v>
      </c>
      <c r="G180">
        <v>704060000</v>
      </c>
    </row>
    <row r="181" spans="1:7" x14ac:dyDescent="0.3">
      <c r="A181" t="s">
        <v>350</v>
      </c>
      <c r="B181" t="s">
        <v>351</v>
      </c>
      <c r="C181">
        <v>0.1221</v>
      </c>
      <c r="D181">
        <v>0</v>
      </c>
      <c r="E181">
        <v>5570000</v>
      </c>
      <c r="G181">
        <v>45660000</v>
      </c>
    </row>
    <row r="182" spans="1:7" x14ac:dyDescent="0.3">
      <c r="A182" t="s">
        <v>352</v>
      </c>
      <c r="B182" t="s">
        <v>353</v>
      </c>
      <c r="C182">
        <v>7.1000000000000004E-3</v>
      </c>
      <c r="D182">
        <v>0.54</v>
      </c>
      <c r="E182">
        <v>4380000</v>
      </c>
      <c r="F182">
        <v>698800</v>
      </c>
      <c r="G182">
        <v>616750000</v>
      </c>
    </row>
    <row r="183" spans="1:7" x14ac:dyDescent="0.3">
      <c r="A183" t="s">
        <v>354</v>
      </c>
      <c r="B183" t="s">
        <v>355</v>
      </c>
      <c r="C183">
        <v>3.4200000000000001E-2</v>
      </c>
      <c r="D183">
        <v>0.32</v>
      </c>
      <c r="E183">
        <v>4350000</v>
      </c>
      <c r="F183">
        <v>1850000</v>
      </c>
      <c r="G183">
        <v>127500000</v>
      </c>
    </row>
    <row r="184" spans="1:7" x14ac:dyDescent="0.3">
      <c r="A184" t="s">
        <v>356</v>
      </c>
      <c r="B184" t="s">
        <v>357</v>
      </c>
      <c r="C184">
        <v>2.0000000000000001E-4</v>
      </c>
      <c r="D184">
        <v>1.53</v>
      </c>
      <c r="E184">
        <v>4350000</v>
      </c>
      <c r="F184">
        <v>4450</v>
      </c>
      <c r="G184">
        <v>21000000000</v>
      </c>
    </row>
    <row r="185" spans="1:7" x14ac:dyDescent="0.3">
      <c r="A185" t="s">
        <v>358</v>
      </c>
      <c r="B185" t="s">
        <v>359</v>
      </c>
      <c r="C185">
        <v>592.08000000000004</v>
      </c>
      <c r="D185">
        <v>0.36</v>
      </c>
      <c r="E185">
        <v>4350000</v>
      </c>
      <c r="F185">
        <v>1320000</v>
      </c>
      <c r="G185">
        <v>7350</v>
      </c>
    </row>
    <row r="186" spans="1:7" x14ac:dyDescent="0.3">
      <c r="A186" t="s">
        <v>360</v>
      </c>
      <c r="B186" t="s">
        <v>361</v>
      </c>
      <c r="C186">
        <v>8.8999999999999999E-3</v>
      </c>
      <c r="D186">
        <v>0.02</v>
      </c>
      <c r="E186">
        <v>4320000</v>
      </c>
      <c r="F186">
        <v>162880</v>
      </c>
      <c r="G186">
        <v>486200000</v>
      </c>
    </row>
    <row r="187" spans="1:7" x14ac:dyDescent="0.3">
      <c r="A187" t="s">
        <v>362</v>
      </c>
      <c r="B187" t="s">
        <v>363</v>
      </c>
      <c r="C187">
        <v>5.0000000000000001E-4</v>
      </c>
      <c r="D187">
        <v>0.37</v>
      </c>
      <c r="E187">
        <v>4310000</v>
      </c>
      <c r="F187">
        <v>239490</v>
      </c>
      <c r="G187">
        <v>8990000000</v>
      </c>
    </row>
    <row r="188" spans="1:7" x14ac:dyDescent="0.3">
      <c r="A188" t="s">
        <v>364</v>
      </c>
      <c r="B188" t="s">
        <v>365</v>
      </c>
      <c r="C188">
        <v>6.54E-2</v>
      </c>
      <c r="D188">
        <v>1</v>
      </c>
      <c r="E188">
        <v>4290000</v>
      </c>
      <c r="F188">
        <v>5290</v>
      </c>
      <c r="G188">
        <v>65720000</v>
      </c>
    </row>
    <row r="189" spans="1:7" x14ac:dyDescent="0.3">
      <c r="A189" t="s">
        <v>366</v>
      </c>
      <c r="B189" t="s">
        <v>367</v>
      </c>
      <c r="C189">
        <v>0</v>
      </c>
      <c r="D189">
        <v>0</v>
      </c>
      <c r="E189">
        <v>4280000</v>
      </c>
      <c r="G189">
        <v>184060000000</v>
      </c>
    </row>
    <row r="190" spans="1:7" x14ac:dyDescent="0.3">
      <c r="A190" t="s">
        <v>368</v>
      </c>
      <c r="B190" t="s">
        <v>369</v>
      </c>
      <c r="C190">
        <v>1.5E-3</v>
      </c>
      <c r="D190">
        <v>0.01</v>
      </c>
      <c r="E190">
        <v>4270000</v>
      </c>
      <c r="F190">
        <v>44.18</v>
      </c>
      <c r="G190">
        <v>2770000000</v>
      </c>
    </row>
    <row r="191" spans="1:7" x14ac:dyDescent="0.3">
      <c r="A191" t="s">
        <v>370</v>
      </c>
      <c r="B191" t="s">
        <v>370</v>
      </c>
      <c r="C191">
        <v>4.5999999999999999E-3</v>
      </c>
      <c r="D191">
        <v>0.08</v>
      </c>
      <c r="E191">
        <v>4260000</v>
      </c>
      <c r="F191">
        <v>1410000</v>
      </c>
      <c r="G191">
        <v>929610000</v>
      </c>
    </row>
    <row r="192" spans="1:7" x14ac:dyDescent="0.3">
      <c r="A192" t="s">
        <v>371</v>
      </c>
      <c r="B192" t="s">
        <v>371</v>
      </c>
      <c r="C192">
        <v>1.24E-2</v>
      </c>
      <c r="D192">
        <v>0.16</v>
      </c>
      <c r="E192">
        <v>4230000</v>
      </c>
      <c r="F192">
        <v>78790</v>
      </c>
      <c r="G192">
        <v>341170000</v>
      </c>
    </row>
    <row r="193" spans="1:7" x14ac:dyDescent="0.3">
      <c r="A193" t="s">
        <v>372</v>
      </c>
      <c r="B193" t="s">
        <v>373</v>
      </c>
      <c r="C193">
        <v>5.1000000000000004E-3</v>
      </c>
      <c r="D193">
        <v>0</v>
      </c>
      <c r="E193">
        <v>4220000</v>
      </c>
      <c r="G193">
        <v>824770000</v>
      </c>
    </row>
    <row r="194" spans="1:7" x14ac:dyDescent="0.3">
      <c r="A194" t="s">
        <v>374</v>
      </c>
      <c r="B194" t="s">
        <v>375</v>
      </c>
      <c r="C194">
        <v>2.86E-2</v>
      </c>
      <c r="D194">
        <v>0.2</v>
      </c>
      <c r="E194">
        <v>4210000</v>
      </c>
      <c r="F194">
        <v>1130000</v>
      </c>
      <c r="G194">
        <v>147340000</v>
      </c>
    </row>
    <row r="195" spans="1:7" x14ac:dyDescent="0.3">
      <c r="A195" t="s">
        <v>376</v>
      </c>
      <c r="B195" t="s">
        <v>377</v>
      </c>
      <c r="C195">
        <v>7.7299999999999994E-2</v>
      </c>
      <c r="D195">
        <v>0.13</v>
      </c>
      <c r="E195">
        <v>4200000</v>
      </c>
      <c r="F195">
        <v>838.91</v>
      </c>
      <c r="G195">
        <v>57270000000000</v>
      </c>
    </row>
    <row r="196" spans="1:7" x14ac:dyDescent="0.3">
      <c r="A196" t="s">
        <v>378</v>
      </c>
      <c r="B196" t="s">
        <v>379</v>
      </c>
      <c r="C196">
        <v>5.9999999999999995E-4</v>
      </c>
      <c r="D196">
        <v>0.4</v>
      </c>
      <c r="E196">
        <v>4200000</v>
      </c>
      <c r="F196">
        <v>1600000</v>
      </c>
      <c r="G196">
        <v>6950000000</v>
      </c>
    </row>
    <row r="197" spans="1:7" x14ac:dyDescent="0.3">
      <c r="A197" t="s">
        <v>380</v>
      </c>
      <c r="B197" t="s">
        <v>381</v>
      </c>
      <c r="C197">
        <v>0.22889999999999999</v>
      </c>
      <c r="D197">
        <v>5.57</v>
      </c>
      <c r="E197">
        <v>3280000</v>
      </c>
      <c r="F197">
        <v>3170000</v>
      </c>
      <c r="G197">
        <v>14340000</v>
      </c>
    </row>
    <row r="198" spans="1:7" x14ac:dyDescent="0.3">
      <c r="A198" t="s">
        <v>382</v>
      </c>
      <c r="B198" t="s">
        <v>383</v>
      </c>
      <c r="C198">
        <v>0.22939999999999999</v>
      </c>
      <c r="D198">
        <v>0.11</v>
      </c>
      <c r="E198">
        <v>3310000</v>
      </c>
      <c r="F198">
        <v>3810</v>
      </c>
      <c r="G198">
        <v>14440000</v>
      </c>
    </row>
    <row r="199" spans="1:7" x14ac:dyDescent="0.3">
      <c r="A199" t="s">
        <v>384</v>
      </c>
      <c r="B199" t="s">
        <v>385</v>
      </c>
      <c r="C199">
        <v>50.02</v>
      </c>
      <c r="D199">
        <v>1.17</v>
      </c>
      <c r="E199">
        <v>3300000</v>
      </c>
      <c r="F199">
        <v>1400000</v>
      </c>
      <c r="G199">
        <v>66140</v>
      </c>
    </row>
    <row r="200" spans="1:7" x14ac:dyDescent="0.3">
      <c r="A200" t="s">
        <v>386</v>
      </c>
      <c r="B200" t="s">
        <v>387</v>
      </c>
      <c r="C200">
        <v>58.92</v>
      </c>
      <c r="D200">
        <v>0.05</v>
      </c>
      <c r="E200">
        <v>3300000</v>
      </c>
      <c r="F200">
        <v>202940</v>
      </c>
      <c r="G200">
        <v>56090</v>
      </c>
    </row>
    <row r="201" spans="1:7" x14ac:dyDescent="0.3">
      <c r="A201" t="s">
        <v>388</v>
      </c>
      <c r="B201" t="s">
        <v>389</v>
      </c>
      <c r="C201">
        <v>3.3E-3</v>
      </c>
      <c r="D201">
        <v>0.11</v>
      </c>
      <c r="E201">
        <v>3290000</v>
      </c>
      <c r="F201">
        <v>8210</v>
      </c>
      <c r="G201">
        <v>992870000</v>
      </c>
    </row>
    <row r="202" spans="1:7" x14ac:dyDescent="0.3">
      <c r="A202" t="s">
        <v>390</v>
      </c>
      <c r="B202" t="s">
        <v>391</v>
      </c>
      <c r="C202">
        <v>9.7000000000000003E-3</v>
      </c>
      <c r="D202">
        <v>0.12</v>
      </c>
      <c r="E202">
        <v>3290000</v>
      </c>
      <c r="F202">
        <v>92400</v>
      </c>
      <c r="G202">
        <v>339060000</v>
      </c>
    </row>
    <row r="203" spans="1:7" x14ac:dyDescent="0.3">
      <c r="A203" t="s">
        <v>392</v>
      </c>
      <c r="B203" t="s">
        <v>393</v>
      </c>
      <c r="C203">
        <v>1.6500000000000001E-2</v>
      </c>
      <c r="D203">
        <v>0.87</v>
      </c>
      <c r="E203">
        <v>3290000</v>
      </c>
      <c r="F203">
        <v>515040</v>
      </c>
      <c r="G203">
        <v>200000000</v>
      </c>
    </row>
    <row r="204" spans="1:7" x14ac:dyDescent="0.3">
      <c r="A204" t="s">
        <v>394</v>
      </c>
      <c r="B204" t="s">
        <v>395</v>
      </c>
      <c r="C204">
        <v>0.99980000000000002</v>
      </c>
      <c r="D204">
        <v>0</v>
      </c>
      <c r="E204">
        <v>3290000</v>
      </c>
      <c r="G204">
        <v>3290000</v>
      </c>
    </row>
    <row r="205" spans="1:7" x14ac:dyDescent="0.3">
      <c r="A205" t="s">
        <v>396</v>
      </c>
      <c r="B205" t="s">
        <v>397</v>
      </c>
      <c r="C205">
        <v>123.11</v>
      </c>
      <c r="D205">
        <v>0.16</v>
      </c>
      <c r="E205">
        <v>3280000</v>
      </c>
      <c r="F205">
        <v>1810000</v>
      </c>
      <c r="G205">
        <v>26710</v>
      </c>
    </row>
    <row r="206" spans="1:7" x14ac:dyDescent="0.3">
      <c r="A206" t="s">
        <v>398</v>
      </c>
      <c r="B206" t="s">
        <v>399</v>
      </c>
      <c r="C206">
        <v>1.1999999999999999E-3</v>
      </c>
      <c r="D206">
        <v>0.23</v>
      </c>
      <c r="E206">
        <v>3280000</v>
      </c>
      <c r="F206">
        <v>169600</v>
      </c>
      <c r="G206">
        <v>2650000000</v>
      </c>
    </row>
    <row r="207" spans="1:7" x14ac:dyDescent="0.3">
      <c r="A207" t="s">
        <v>400</v>
      </c>
      <c r="B207" t="s">
        <v>400</v>
      </c>
      <c r="C207">
        <v>1.6E-2</v>
      </c>
      <c r="D207">
        <v>0.09</v>
      </c>
      <c r="E207">
        <v>3280000</v>
      </c>
      <c r="F207">
        <v>455660</v>
      </c>
      <c r="G207">
        <v>204830000</v>
      </c>
    </row>
    <row r="208" spans="1:7" x14ac:dyDescent="0.3">
      <c r="A208" t="s">
        <v>401</v>
      </c>
      <c r="B208" t="s">
        <v>402</v>
      </c>
      <c r="C208">
        <v>5.4999999999999997E-3</v>
      </c>
      <c r="D208">
        <v>0.34</v>
      </c>
      <c r="E208">
        <v>3280000</v>
      </c>
      <c r="F208">
        <v>148500</v>
      </c>
      <c r="G208">
        <v>598860000</v>
      </c>
    </row>
    <row r="209" spans="1:7" x14ac:dyDescent="0.3">
      <c r="A209" t="s">
        <v>403</v>
      </c>
      <c r="B209" t="s">
        <v>404</v>
      </c>
      <c r="C209">
        <v>479.08</v>
      </c>
      <c r="D209">
        <v>0.3</v>
      </c>
      <c r="E209">
        <v>3280000</v>
      </c>
      <c r="F209">
        <v>4740000</v>
      </c>
      <c r="G209">
        <v>6840</v>
      </c>
    </row>
    <row r="210" spans="1:7" x14ac:dyDescent="0.3">
      <c r="A210" t="s">
        <v>405</v>
      </c>
      <c r="B210" t="s">
        <v>406</v>
      </c>
      <c r="C210">
        <v>8.9999999999999998E-4</v>
      </c>
      <c r="D210">
        <v>3.85</v>
      </c>
      <c r="E210">
        <v>3360000</v>
      </c>
      <c r="F210">
        <v>441790</v>
      </c>
      <c r="G210">
        <v>3740000000</v>
      </c>
    </row>
    <row r="211" spans="1:7" x14ac:dyDescent="0.3">
      <c r="A211" t="s">
        <v>407</v>
      </c>
      <c r="B211" t="s">
        <v>408</v>
      </c>
      <c r="C211">
        <v>5.7799999999999997E-2</v>
      </c>
      <c r="D211">
        <v>0.21</v>
      </c>
      <c r="E211">
        <v>3270000</v>
      </c>
      <c r="F211">
        <v>218630</v>
      </c>
      <c r="G211">
        <v>417210000000</v>
      </c>
    </row>
    <row r="212" spans="1:7" x14ac:dyDescent="0.3">
      <c r="A212" t="s">
        <v>409</v>
      </c>
      <c r="B212" t="s">
        <v>410</v>
      </c>
      <c r="C212">
        <v>8.6300000000000002E-2</v>
      </c>
      <c r="D212">
        <v>0.98</v>
      </c>
      <c r="E212">
        <v>2640000</v>
      </c>
      <c r="F212">
        <v>30710</v>
      </c>
      <c r="G212">
        <v>420680000000000</v>
      </c>
    </row>
    <row r="213" spans="1:7" x14ac:dyDescent="0.3">
      <c r="A213" t="s">
        <v>411</v>
      </c>
      <c r="B213" t="s">
        <v>412</v>
      </c>
      <c r="C213">
        <v>4.0000000000000001E-3</v>
      </c>
      <c r="D213">
        <v>0.01</v>
      </c>
      <c r="E213">
        <v>2620000</v>
      </c>
      <c r="F213">
        <v>4330</v>
      </c>
      <c r="G213">
        <v>664040000</v>
      </c>
    </row>
    <row r="214" spans="1:7" x14ac:dyDescent="0.3">
      <c r="A214" t="s">
        <v>413</v>
      </c>
      <c r="B214" t="s">
        <v>413</v>
      </c>
      <c r="C214">
        <v>1.8E-3</v>
      </c>
      <c r="D214">
        <v>0.35</v>
      </c>
      <c r="E214">
        <v>2620000</v>
      </c>
      <c r="F214">
        <v>279310</v>
      </c>
      <c r="G214">
        <v>1420000000</v>
      </c>
    </row>
    <row r="215" spans="1:7" x14ac:dyDescent="0.3">
      <c r="A215" t="s">
        <v>414</v>
      </c>
      <c r="B215" t="s">
        <v>415</v>
      </c>
      <c r="C215">
        <v>2.7099999999999999E-2</v>
      </c>
      <c r="D215">
        <v>0.48</v>
      </c>
      <c r="E215">
        <v>2610000</v>
      </c>
      <c r="F215">
        <v>14640</v>
      </c>
      <c r="G215">
        <v>96190000</v>
      </c>
    </row>
    <row r="216" spans="1:7" x14ac:dyDescent="0.3">
      <c r="A216" t="s">
        <v>416</v>
      </c>
      <c r="B216" t="s">
        <v>417</v>
      </c>
      <c r="C216">
        <v>2.2200000000000001E-2</v>
      </c>
      <c r="D216">
        <v>0.09</v>
      </c>
      <c r="E216">
        <v>2600000</v>
      </c>
      <c r="F216">
        <v>187120</v>
      </c>
      <c r="G216">
        <v>117180000</v>
      </c>
    </row>
    <row r="217" spans="1:7" x14ac:dyDescent="0.3">
      <c r="A217" t="s">
        <v>418</v>
      </c>
      <c r="B217" t="s">
        <v>419</v>
      </c>
      <c r="C217">
        <v>554.79999999999995</v>
      </c>
      <c r="D217">
        <v>0.08</v>
      </c>
      <c r="E217">
        <v>2590000</v>
      </c>
      <c r="F217">
        <v>155200</v>
      </c>
      <c r="G217">
        <v>4680</v>
      </c>
    </row>
    <row r="218" spans="1:7" x14ac:dyDescent="0.3">
      <c r="A218" t="s">
        <v>420</v>
      </c>
      <c r="B218" t="s">
        <v>421</v>
      </c>
      <c r="C218">
        <v>1.32E-2</v>
      </c>
      <c r="D218">
        <v>0.04</v>
      </c>
      <c r="E218">
        <v>2580000</v>
      </c>
      <c r="F218">
        <v>1130</v>
      </c>
      <c r="G218">
        <v>195420000</v>
      </c>
    </row>
    <row r="219" spans="1:7" x14ac:dyDescent="0.3">
      <c r="A219" t="s">
        <v>422</v>
      </c>
      <c r="B219" t="s">
        <v>422</v>
      </c>
      <c r="C219">
        <v>7.4999999999999997E-3</v>
      </c>
      <c r="D219">
        <v>0.05</v>
      </c>
      <c r="E219">
        <v>2570000</v>
      </c>
      <c r="F219">
        <v>430670</v>
      </c>
      <c r="G219">
        <v>344850000</v>
      </c>
    </row>
    <row r="220" spans="1:7" x14ac:dyDescent="0.3">
      <c r="A220" t="s">
        <v>423</v>
      </c>
      <c r="B220" t="s">
        <v>423</v>
      </c>
      <c r="C220">
        <v>2.2499999999999999E-2</v>
      </c>
      <c r="D220">
        <v>0.28000000000000003</v>
      </c>
      <c r="E220">
        <v>2570000</v>
      </c>
      <c r="F220">
        <v>112920</v>
      </c>
      <c r="G220">
        <v>114350000</v>
      </c>
    </row>
    <row r="221" spans="1:7" x14ac:dyDescent="0.3">
      <c r="A221" t="s">
        <v>424</v>
      </c>
      <c r="B221" t="s">
        <v>424</v>
      </c>
      <c r="C221">
        <v>3.2000000000000002E-3</v>
      </c>
      <c r="D221">
        <v>0.32</v>
      </c>
      <c r="E221">
        <v>2560000</v>
      </c>
      <c r="F221">
        <v>445.59</v>
      </c>
      <c r="G221">
        <v>792550000</v>
      </c>
    </row>
    <row r="222" spans="1:7" x14ac:dyDescent="0.3">
      <c r="A222" t="s">
        <v>425</v>
      </c>
      <c r="B222" t="s">
        <v>426</v>
      </c>
      <c r="C222">
        <v>9.5999999999999992E-3</v>
      </c>
      <c r="D222">
        <v>2.42</v>
      </c>
      <c r="E222">
        <v>2550000</v>
      </c>
      <c r="F222">
        <v>156510</v>
      </c>
      <c r="G222">
        <v>266770000</v>
      </c>
    </row>
    <row r="223" spans="1:7" x14ac:dyDescent="0.3">
      <c r="A223" t="s">
        <v>427</v>
      </c>
      <c r="B223" t="s">
        <v>428</v>
      </c>
      <c r="C223">
        <v>4.0000000000000002E-4</v>
      </c>
      <c r="D223">
        <v>0.26</v>
      </c>
      <c r="E223">
        <v>2540000</v>
      </c>
      <c r="F223">
        <v>13730</v>
      </c>
      <c r="G223">
        <v>5960000000</v>
      </c>
    </row>
    <row r="224" spans="1:7" x14ac:dyDescent="0.3">
      <c r="A224" t="s">
        <v>429</v>
      </c>
      <c r="B224" t="s">
        <v>430</v>
      </c>
      <c r="C224">
        <v>1.8E-3</v>
      </c>
      <c r="D224">
        <v>0.52</v>
      </c>
      <c r="E224">
        <v>2540000</v>
      </c>
      <c r="F224">
        <v>23360</v>
      </c>
      <c r="G224">
        <v>1430000000</v>
      </c>
    </row>
    <row r="225" spans="1:7" x14ac:dyDescent="0.3">
      <c r="A225" t="s">
        <v>431</v>
      </c>
      <c r="B225" t="s">
        <v>432</v>
      </c>
      <c r="C225">
        <v>0.25609999999999999</v>
      </c>
      <c r="D225">
        <v>0.04</v>
      </c>
      <c r="E225">
        <v>2540000</v>
      </c>
      <c r="F225">
        <v>109700</v>
      </c>
      <c r="G225">
        <v>9930000</v>
      </c>
    </row>
    <row r="226" spans="1:7" x14ac:dyDescent="0.3">
      <c r="A226" t="s">
        <v>433</v>
      </c>
      <c r="B226" t="s">
        <v>434</v>
      </c>
      <c r="C226">
        <v>4.1300000000000003E-2</v>
      </c>
      <c r="D226">
        <v>0</v>
      </c>
      <c r="E226">
        <v>2540000</v>
      </c>
      <c r="F226">
        <v>8440</v>
      </c>
      <c r="G226">
        <v>61480000</v>
      </c>
    </row>
    <row r="227" spans="1:7" x14ac:dyDescent="0.3">
      <c r="A227" t="s">
        <v>435</v>
      </c>
      <c r="B227" t="s">
        <v>436</v>
      </c>
      <c r="C227">
        <v>2E-3</v>
      </c>
      <c r="D227">
        <v>0.52</v>
      </c>
      <c r="E227">
        <v>2040000</v>
      </c>
      <c r="F227">
        <v>159560</v>
      </c>
      <c r="G227">
        <v>999970000</v>
      </c>
    </row>
    <row r="228" spans="1:7" x14ac:dyDescent="0.3">
      <c r="A228" t="s">
        <v>437</v>
      </c>
      <c r="B228" t="s">
        <v>438</v>
      </c>
      <c r="C228">
        <v>9.9400000000000002E-2</v>
      </c>
      <c r="D228">
        <v>1.25</v>
      </c>
      <c r="E228">
        <v>2040000</v>
      </c>
      <c r="F228">
        <v>242970</v>
      </c>
      <c r="G228">
        <v>20580000</v>
      </c>
    </row>
    <row r="229" spans="1:7" x14ac:dyDescent="0.3">
      <c r="A229" t="s">
        <v>439</v>
      </c>
      <c r="B229" t="s">
        <v>440</v>
      </c>
      <c r="C229">
        <v>404.09</v>
      </c>
      <c r="D229">
        <v>0.04</v>
      </c>
      <c r="E229">
        <v>2040000</v>
      </c>
      <c r="F229">
        <v>171250</v>
      </c>
      <c r="G229">
        <v>5050</v>
      </c>
    </row>
    <row r="230" spans="1:7" x14ac:dyDescent="0.3">
      <c r="A230" t="s">
        <v>441</v>
      </c>
      <c r="B230" t="s">
        <v>442</v>
      </c>
      <c r="C230">
        <v>59.16</v>
      </c>
      <c r="D230">
        <v>2.37</v>
      </c>
      <c r="E230">
        <v>2030000</v>
      </c>
      <c r="F230">
        <v>6720000</v>
      </c>
      <c r="G230">
        <v>34460</v>
      </c>
    </row>
    <row r="231" spans="1:7" x14ac:dyDescent="0.3">
      <c r="A231" t="s">
        <v>443</v>
      </c>
      <c r="B231" t="s">
        <v>444</v>
      </c>
      <c r="C231">
        <v>64.08</v>
      </c>
      <c r="D231">
        <v>0.61</v>
      </c>
      <c r="E231">
        <v>2030000</v>
      </c>
      <c r="F231">
        <v>1760000</v>
      </c>
      <c r="G231">
        <v>31780</v>
      </c>
    </row>
    <row r="232" spans="1:7" x14ac:dyDescent="0.3">
      <c r="A232" t="s">
        <v>445</v>
      </c>
      <c r="B232" t="s">
        <v>446</v>
      </c>
      <c r="C232">
        <v>2.2000000000000001E-3</v>
      </c>
      <c r="D232">
        <v>0.47</v>
      </c>
      <c r="E232">
        <v>2030000</v>
      </c>
      <c r="F232">
        <v>185590</v>
      </c>
      <c r="G232">
        <v>904010000</v>
      </c>
    </row>
    <row r="233" spans="1:7" x14ac:dyDescent="0.3">
      <c r="A233" t="s">
        <v>447</v>
      </c>
      <c r="B233" t="s">
        <v>448</v>
      </c>
      <c r="C233">
        <v>121.88</v>
      </c>
      <c r="D233">
        <v>0.18</v>
      </c>
      <c r="E233">
        <v>2020000</v>
      </c>
      <c r="F233">
        <v>1290000</v>
      </c>
      <c r="G233">
        <v>16590</v>
      </c>
    </row>
    <row r="234" spans="1:7" x14ac:dyDescent="0.3">
      <c r="A234" t="s">
        <v>449</v>
      </c>
      <c r="B234" t="s">
        <v>450</v>
      </c>
      <c r="C234">
        <v>147.44</v>
      </c>
      <c r="D234">
        <v>0.16</v>
      </c>
      <c r="E234">
        <v>2020000</v>
      </c>
      <c r="F234">
        <v>1640000</v>
      </c>
      <c r="G234">
        <v>13710</v>
      </c>
    </row>
    <row r="235" spans="1:7" x14ac:dyDescent="0.3">
      <c r="A235" t="s">
        <v>451</v>
      </c>
      <c r="B235" t="s">
        <v>452</v>
      </c>
      <c r="C235">
        <v>7.7999999999999996E-3</v>
      </c>
      <c r="D235">
        <v>0.13</v>
      </c>
      <c r="E235">
        <v>2010000</v>
      </c>
      <c r="F235">
        <v>64330</v>
      </c>
      <c r="G235">
        <v>257950000</v>
      </c>
    </row>
    <row r="236" spans="1:7" x14ac:dyDescent="0.3">
      <c r="A236" t="s">
        <v>453</v>
      </c>
      <c r="B236" t="s">
        <v>454</v>
      </c>
      <c r="C236">
        <v>2.0000000000000001E-4</v>
      </c>
      <c r="D236">
        <v>1.75</v>
      </c>
      <c r="E236">
        <v>2000000</v>
      </c>
      <c r="F236">
        <v>8870</v>
      </c>
      <c r="G236">
        <v>10260000000</v>
      </c>
    </row>
    <row r="237" spans="1:7" x14ac:dyDescent="0.3">
      <c r="A237" t="s">
        <v>455</v>
      </c>
      <c r="B237" t="s">
        <v>455</v>
      </c>
      <c r="C237">
        <v>6.7000000000000002E-3</v>
      </c>
      <c r="D237">
        <v>0</v>
      </c>
      <c r="E237">
        <v>2000000</v>
      </c>
      <c r="G237">
        <v>299980000</v>
      </c>
    </row>
    <row r="238" spans="1:7" x14ac:dyDescent="0.3">
      <c r="A238" t="s">
        <v>456</v>
      </c>
      <c r="B238" t="s">
        <v>457</v>
      </c>
      <c r="C238">
        <v>6.9999999999999999E-4</v>
      </c>
      <c r="D238">
        <v>0.67</v>
      </c>
      <c r="E238">
        <v>1990000</v>
      </c>
      <c r="F238">
        <v>75080</v>
      </c>
      <c r="G238">
        <v>2680000000</v>
      </c>
    </row>
    <row r="239" spans="1:7" x14ac:dyDescent="0.3">
      <c r="A239" t="s">
        <v>458</v>
      </c>
      <c r="B239" t="s">
        <v>459</v>
      </c>
      <c r="C239">
        <v>7.1300000000000002E-2</v>
      </c>
      <c r="D239">
        <v>1.29</v>
      </c>
      <c r="E239">
        <v>1990000</v>
      </c>
      <c r="F239">
        <v>2500</v>
      </c>
      <c r="G239">
        <v>151420000000000</v>
      </c>
    </row>
    <row r="240" spans="1:7" x14ac:dyDescent="0.3">
      <c r="A240" t="s">
        <v>460</v>
      </c>
      <c r="B240" t="s">
        <v>461</v>
      </c>
      <c r="C240">
        <v>2.9999999999999997E-4</v>
      </c>
      <c r="D240">
        <v>1.92</v>
      </c>
      <c r="E240">
        <v>1980000</v>
      </c>
      <c r="F240">
        <v>100520</v>
      </c>
      <c r="G240">
        <v>7800000000</v>
      </c>
    </row>
    <row r="241" spans="1:7" x14ac:dyDescent="0.3">
      <c r="A241" t="s">
        <v>462</v>
      </c>
      <c r="B241" t="s">
        <v>462</v>
      </c>
      <c r="C241">
        <v>0</v>
      </c>
      <c r="D241">
        <v>0.36</v>
      </c>
      <c r="E241">
        <v>1980000</v>
      </c>
      <c r="F241">
        <v>826.89</v>
      </c>
      <c r="G241">
        <v>77570000000</v>
      </c>
    </row>
    <row r="242" spans="1:7" x14ac:dyDescent="0.3">
      <c r="A242" t="s">
        <v>463</v>
      </c>
      <c r="B242" t="s">
        <v>464</v>
      </c>
      <c r="C242">
        <v>1.6199999999999999E-2</v>
      </c>
      <c r="D242">
        <v>2.2599999999999998</v>
      </c>
      <c r="E242">
        <v>1620000</v>
      </c>
      <c r="F242">
        <v>335.35</v>
      </c>
      <c r="G242">
        <v>100000000</v>
      </c>
    </row>
    <row r="243" spans="1:7" x14ac:dyDescent="0.3">
      <c r="A243" t="s">
        <v>465</v>
      </c>
      <c r="B243" t="s">
        <v>466</v>
      </c>
      <c r="C243">
        <v>5.16E-2</v>
      </c>
      <c r="D243">
        <v>0.04</v>
      </c>
      <c r="E243">
        <v>1610000</v>
      </c>
      <c r="F243">
        <v>103570</v>
      </c>
      <c r="G243">
        <v>1000000000000</v>
      </c>
    </row>
    <row r="244" spans="1:7" x14ac:dyDescent="0.3">
      <c r="A244" t="s">
        <v>467</v>
      </c>
      <c r="B244" t="s">
        <v>468</v>
      </c>
      <c r="C244">
        <v>2.0000000000000001E-4</v>
      </c>
      <c r="D244">
        <v>0</v>
      </c>
      <c r="E244">
        <v>1600000</v>
      </c>
      <c r="G244">
        <v>7700000000</v>
      </c>
    </row>
    <row r="245" spans="1:7" x14ac:dyDescent="0.3">
      <c r="A245" t="s">
        <v>469</v>
      </c>
      <c r="B245" t="s">
        <v>470</v>
      </c>
      <c r="C245">
        <v>145.94</v>
      </c>
      <c r="D245">
        <v>0.63</v>
      </c>
      <c r="E245">
        <v>1600000</v>
      </c>
      <c r="F245">
        <v>468100</v>
      </c>
      <c r="G245">
        <v>10970</v>
      </c>
    </row>
    <row r="246" spans="1:7" x14ac:dyDescent="0.3">
      <c r="A246" t="s">
        <v>471</v>
      </c>
      <c r="B246" t="s">
        <v>472</v>
      </c>
      <c r="C246">
        <v>3.0000000000000001E-3</v>
      </c>
      <c r="D246">
        <v>1.36</v>
      </c>
      <c r="E246">
        <v>1600000</v>
      </c>
      <c r="F246">
        <v>151140</v>
      </c>
      <c r="G246">
        <v>537270000</v>
      </c>
    </row>
    <row r="247" spans="1:7" x14ac:dyDescent="0.3">
      <c r="A247" t="s">
        <v>473</v>
      </c>
      <c r="B247" t="s">
        <v>474</v>
      </c>
      <c r="C247">
        <v>2.0000000000000001E-4</v>
      </c>
      <c r="D247">
        <v>0</v>
      </c>
      <c r="E247">
        <v>1590000</v>
      </c>
      <c r="F247">
        <v>23440</v>
      </c>
      <c r="G247">
        <v>8790000000</v>
      </c>
    </row>
    <row r="248" spans="1:7" x14ac:dyDescent="0.3">
      <c r="A248" t="s">
        <v>475</v>
      </c>
      <c r="B248" t="s">
        <v>476</v>
      </c>
      <c r="C248">
        <v>6.6100000000000006E-2</v>
      </c>
      <c r="D248">
        <v>0.71</v>
      </c>
      <c r="E248">
        <v>1590000</v>
      </c>
      <c r="F248">
        <v>375690</v>
      </c>
      <c r="G248">
        <v>24060000</v>
      </c>
    </row>
    <row r="249" spans="1:7" x14ac:dyDescent="0.3">
      <c r="A249" t="s">
        <v>477</v>
      </c>
      <c r="B249" t="s">
        <v>478</v>
      </c>
      <c r="C249">
        <v>8.48E-2</v>
      </c>
      <c r="D249">
        <v>0.53</v>
      </c>
      <c r="E249">
        <v>1580000</v>
      </c>
      <c r="F249">
        <v>324580</v>
      </c>
      <c r="G249">
        <v>18710000</v>
      </c>
    </row>
    <row r="250" spans="1:7" x14ac:dyDescent="0.3">
      <c r="A250" t="s">
        <v>479</v>
      </c>
      <c r="B250" t="s">
        <v>480</v>
      </c>
      <c r="C250">
        <v>8.0999999999999996E-3</v>
      </c>
      <c r="D250">
        <v>0.27</v>
      </c>
      <c r="E250">
        <v>1590000</v>
      </c>
      <c r="F250">
        <v>1100000</v>
      </c>
      <c r="G250">
        <v>197300000</v>
      </c>
    </row>
    <row r="251" spans="1:7" x14ac:dyDescent="0.3">
      <c r="A251" t="s">
        <v>481</v>
      </c>
      <c r="B251" t="s">
        <v>482</v>
      </c>
      <c r="C251">
        <v>85.33</v>
      </c>
      <c r="D251">
        <v>0</v>
      </c>
      <c r="E251">
        <v>1580000</v>
      </c>
      <c r="G251">
        <v>18530</v>
      </c>
    </row>
    <row r="252" spans="1:7" x14ac:dyDescent="0.3">
      <c r="A252" t="s">
        <v>483</v>
      </c>
      <c r="B252" t="s">
        <v>483</v>
      </c>
      <c r="C252">
        <v>1.3100000000000001E-2</v>
      </c>
      <c r="D252">
        <v>0</v>
      </c>
      <c r="E252">
        <v>1580000</v>
      </c>
      <c r="F252">
        <v>23.89</v>
      </c>
      <c r="G252">
        <v>121040000</v>
      </c>
    </row>
    <row r="253" spans="1:7" x14ac:dyDescent="0.3">
      <c r="A253" t="s">
        <v>484</v>
      </c>
      <c r="B253" t="s">
        <v>484</v>
      </c>
      <c r="C253">
        <v>0</v>
      </c>
      <c r="D253">
        <v>0</v>
      </c>
      <c r="E253">
        <v>1570000</v>
      </c>
      <c r="G253">
        <v>62070000000</v>
      </c>
    </row>
    <row r="254" spans="1:7" x14ac:dyDescent="0.3">
      <c r="A254" t="s">
        <v>485</v>
      </c>
      <c r="B254" t="s">
        <v>486</v>
      </c>
      <c r="C254">
        <v>76.34</v>
      </c>
      <c r="D254">
        <v>0</v>
      </c>
      <c r="E254">
        <v>1570000</v>
      </c>
      <c r="G254">
        <v>20640</v>
      </c>
    </row>
    <row r="255" spans="1:7" x14ac:dyDescent="0.3">
      <c r="A255" t="s">
        <v>487</v>
      </c>
      <c r="B255" t="s">
        <v>488</v>
      </c>
      <c r="C255">
        <v>8.0799999999999997E-2</v>
      </c>
      <c r="D255">
        <v>0.19</v>
      </c>
      <c r="E255">
        <v>1570000</v>
      </c>
      <c r="F255">
        <v>238760</v>
      </c>
      <c r="G255">
        <v>19480000</v>
      </c>
    </row>
    <row r="256" spans="1:7" x14ac:dyDescent="0.3">
      <c r="A256" t="s">
        <v>489</v>
      </c>
      <c r="B256" t="s">
        <v>490</v>
      </c>
      <c r="C256">
        <v>5.9999999999999995E-4</v>
      </c>
      <c r="D256">
        <v>9.1999999999999993</v>
      </c>
      <c r="E256">
        <v>1530000</v>
      </c>
      <c r="F256">
        <v>30220</v>
      </c>
      <c r="G256">
        <v>2510000000</v>
      </c>
    </row>
    <row r="257" spans="1:7" x14ac:dyDescent="0.3">
      <c r="A257" t="s">
        <v>491</v>
      </c>
      <c r="B257" t="s">
        <v>492</v>
      </c>
      <c r="C257">
        <v>86.51</v>
      </c>
      <c r="D257">
        <v>0.61</v>
      </c>
      <c r="E257">
        <v>1300000</v>
      </c>
      <c r="F257">
        <v>277200</v>
      </c>
      <c r="G257">
        <v>15050</v>
      </c>
    </row>
    <row r="258" spans="1:7" x14ac:dyDescent="0.3">
      <c r="A258" t="s">
        <v>493</v>
      </c>
      <c r="B258" t="s">
        <v>494</v>
      </c>
      <c r="C258">
        <v>2E-3</v>
      </c>
      <c r="D258">
        <v>0.01</v>
      </c>
      <c r="E258">
        <v>1290000</v>
      </c>
      <c r="F258">
        <v>98630</v>
      </c>
      <c r="G258">
        <v>663490000</v>
      </c>
    </row>
    <row r="259" spans="1:7" x14ac:dyDescent="0.3">
      <c r="A259" t="s">
        <v>495</v>
      </c>
      <c r="B259" t="s">
        <v>496</v>
      </c>
      <c r="C259">
        <v>9.2999999999999992E-3</v>
      </c>
      <c r="D259">
        <v>0.21</v>
      </c>
      <c r="E259">
        <v>1290000</v>
      </c>
      <c r="F259">
        <v>115470</v>
      </c>
      <c r="G259">
        <v>139770000</v>
      </c>
    </row>
    <row r="260" spans="1:7" x14ac:dyDescent="0.3">
      <c r="A260" t="s">
        <v>497</v>
      </c>
      <c r="B260" t="s">
        <v>498</v>
      </c>
      <c r="C260">
        <v>575.01</v>
      </c>
      <c r="D260">
        <v>0.05</v>
      </c>
      <c r="E260">
        <v>1290000</v>
      </c>
      <c r="F260">
        <v>1320000</v>
      </c>
      <c r="G260">
        <v>2250</v>
      </c>
    </row>
    <row r="261" spans="1:7" x14ac:dyDescent="0.3">
      <c r="A261" t="s">
        <v>499</v>
      </c>
      <c r="B261" t="s">
        <v>500</v>
      </c>
      <c r="C261">
        <v>2.3699999999999999E-2</v>
      </c>
      <c r="D261">
        <v>0.02</v>
      </c>
      <c r="E261">
        <v>1280000</v>
      </c>
      <c r="G261">
        <v>54380000</v>
      </c>
    </row>
    <row r="262" spans="1:7" x14ac:dyDescent="0.3">
      <c r="A262" t="s">
        <v>501</v>
      </c>
      <c r="B262" t="s">
        <v>494</v>
      </c>
      <c r="C262">
        <v>4.7999999999999996E-3</v>
      </c>
      <c r="D262">
        <v>0</v>
      </c>
      <c r="E262">
        <v>1280000</v>
      </c>
      <c r="G262">
        <v>267950000</v>
      </c>
    </row>
    <row r="263" spans="1:7" x14ac:dyDescent="0.3">
      <c r="A263" t="s">
        <v>502</v>
      </c>
      <c r="B263" t="s">
        <v>503</v>
      </c>
      <c r="C263">
        <v>9.7100000000000006E-2</v>
      </c>
      <c r="D263">
        <v>0.19</v>
      </c>
      <c r="E263">
        <v>1270000</v>
      </c>
      <c r="F263">
        <v>92100</v>
      </c>
      <c r="G263">
        <v>13170000</v>
      </c>
    </row>
    <row r="264" spans="1:7" x14ac:dyDescent="0.3">
      <c r="A264" t="s">
        <v>504</v>
      </c>
      <c r="B264" t="s">
        <v>505</v>
      </c>
      <c r="C264">
        <v>1.2999999999999999E-3</v>
      </c>
      <c r="D264">
        <v>5.66</v>
      </c>
      <c r="E264">
        <v>1270000</v>
      </c>
      <c r="F264">
        <v>56030</v>
      </c>
      <c r="G264">
        <v>978220000</v>
      </c>
    </row>
    <row r="265" spans="1:7" x14ac:dyDescent="0.3">
      <c r="A265" t="s">
        <v>506</v>
      </c>
      <c r="B265" t="s">
        <v>507</v>
      </c>
      <c r="C265">
        <v>1.9400000000000001E-2</v>
      </c>
      <c r="D265">
        <v>0.55000000000000004</v>
      </c>
      <c r="E265">
        <v>1270000</v>
      </c>
      <c r="F265">
        <v>49670</v>
      </c>
      <c r="G265">
        <v>66000000</v>
      </c>
    </row>
    <row r="266" spans="1:7" x14ac:dyDescent="0.3">
      <c r="A266" t="s">
        <v>508</v>
      </c>
      <c r="B266" t="s">
        <v>509</v>
      </c>
      <c r="C266">
        <v>1.2999999999999999E-3</v>
      </c>
      <c r="D266">
        <v>1.1499999999999999</v>
      </c>
      <c r="E266">
        <v>1270000</v>
      </c>
      <c r="F266">
        <v>305210</v>
      </c>
      <c r="G266">
        <v>999820000</v>
      </c>
    </row>
    <row r="267" spans="1:7" x14ac:dyDescent="0.3">
      <c r="A267" t="s">
        <v>510</v>
      </c>
      <c r="B267" t="s">
        <v>511</v>
      </c>
      <c r="C267">
        <v>2.5000000000000001E-3</v>
      </c>
      <c r="D267">
        <v>0.15</v>
      </c>
      <c r="E267">
        <v>1270000</v>
      </c>
      <c r="F267">
        <v>87390</v>
      </c>
      <c r="G267">
        <v>503180000</v>
      </c>
    </row>
    <row r="268" spans="1:7" x14ac:dyDescent="0.3">
      <c r="A268" t="s">
        <v>512</v>
      </c>
      <c r="B268" t="s">
        <v>512</v>
      </c>
      <c r="C268">
        <v>3.5499999999999997E-2</v>
      </c>
      <c r="D268">
        <v>0.01</v>
      </c>
      <c r="E268">
        <v>1270000</v>
      </c>
      <c r="G268">
        <v>35890000</v>
      </c>
    </row>
    <row r="269" spans="1:7" x14ac:dyDescent="0.3">
      <c r="A269" t="s">
        <v>513</v>
      </c>
      <c r="B269" t="s">
        <v>514</v>
      </c>
      <c r="C269">
        <v>1.61E-2</v>
      </c>
      <c r="D269">
        <v>0.01</v>
      </c>
      <c r="E269">
        <v>1270000</v>
      </c>
      <c r="F269">
        <v>385.44</v>
      </c>
    </row>
    <row r="270" spans="1:7" x14ac:dyDescent="0.3">
      <c r="A270" t="s">
        <v>515</v>
      </c>
      <c r="B270" t="s">
        <v>516</v>
      </c>
      <c r="C270">
        <v>3.3E-3</v>
      </c>
      <c r="D270">
        <v>0.38</v>
      </c>
      <c r="E270">
        <v>1260000</v>
      </c>
      <c r="F270">
        <v>54550</v>
      </c>
      <c r="G270">
        <v>382950000</v>
      </c>
    </row>
    <row r="271" spans="1:7" x14ac:dyDescent="0.3">
      <c r="A271" t="s">
        <v>517</v>
      </c>
      <c r="B271" t="s">
        <v>518</v>
      </c>
      <c r="C271">
        <v>2.9999999999999997E-4</v>
      </c>
      <c r="D271">
        <v>0.63</v>
      </c>
      <c r="E271">
        <v>1260000</v>
      </c>
      <c r="F271">
        <v>23570</v>
      </c>
      <c r="G271">
        <v>4680000000</v>
      </c>
    </row>
    <row r="272" spans="1:7" x14ac:dyDescent="0.3">
      <c r="A272" t="s">
        <v>519</v>
      </c>
      <c r="B272" t="s">
        <v>520</v>
      </c>
      <c r="C272">
        <v>5.2699999999999997E-2</v>
      </c>
      <c r="D272">
        <v>0.12</v>
      </c>
      <c r="E272">
        <v>1060000</v>
      </c>
      <c r="F272">
        <v>150.33000000000001</v>
      </c>
      <c r="G272">
        <v>393400000000</v>
      </c>
    </row>
    <row r="273" spans="1:7" x14ac:dyDescent="0.3">
      <c r="A273" t="s">
        <v>521</v>
      </c>
      <c r="B273" t="s">
        <v>521</v>
      </c>
      <c r="C273">
        <v>8.2500000000000004E-2</v>
      </c>
      <c r="D273">
        <v>0.48</v>
      </c>
      <c r="E273">
        <v>1060000</v>
      </c>
      <c r="F273">
        <v>23390</v>
      </c>
      <c r="G273">
        <v>420690000000000</v>
      </c>
    </row>
    <row r="274" spans="1:7" x14ac:dyDescent="0.3">
      <c r="A274" t="s">
        <v>522</v>
      </c>
      <c r="B274" t="s">
        <v>523</v>
      </c>
      <c r="C274">
        <v>8.0399999999999999E-2</v>
      </c>
      <c r="D274">
        <v>0</v>
      </c>
      <c r="E274">
        <v>1050000</v>
      </c>
      <c r="F274">
        <v>267140</v>
      </c>
      <c r="G274">
        <v>13180000</v>
      </c>
    </row>
    <row r="275" spans="1:7" x14ac:dyDescent="0.3">
      <c r="A275" t="s">
        <v>524</v>
      </c>
      <c r="B275" t="s">
        <v>525</v>
      </c>
      <c r="C275">
        <v>2.9999999999999997E-4</v>
      </c>
      <c r="D275">
        <v>0.39</v>
      </c>
      <c r="E275">
        <v>1050000</v>
      </c>
      <c r="F275">
        <v>798580</v>
      </c>
      <c r="G275">
        <v>3720000000</v>
      </c>
    </row>
    <row r="276" spans="1:7" x14ac:dyDescent="0.3">
      <c r="A276" t="s">
        <v>526</v>
      </c>
      <c r="B276" t="s">
        <v>527</v>
      </c>
      <c r="C276">
        <v>8.1100000000000005E-2</v>
      </c>
      <c r="D276">
        <v>3.39</v>
      </c>
      <c r="E276">
        <v>1050000</v>
      </c>
      <c r="F276">
        <v>36950</v>
      </c>
      <c r="G276">
        <v>975810000000000</v>
      </c>
    </row>
    <row r="277" spans="1:7" x14ac:dyDescent="0.3">
      <c r="A277" t="s">
        <v>528</v>
      </c>
      <c r="B277" t="s">
        <v>529</v>
      </c>
      <c r="C277">
        <v>0</v>
      </c>
      <c r="D277">
        <v>0.7</v>
      </c>
      <c r="E277">
        <v>1050000</v>
      </c>
      <c r="F277">
        <v>25090</v>
      </c>
      <c r="G277">
        <v>84560000000</v>
      </c>
    </row>
    <row r="278" spans="1:7" x14ac:dyDescent="0.3">
      <c r="A278" t="s">
        <v>530</v>
      </c>
      <c r="B278" t="s">
        <v>531</v>
      </c>
      <c r="C278">
        <v>1.1000000000000001E-3</v>
      </c>
      <c r="D278">
        <v>0.2</v>
      </c>
      <c r="E278">
        <v>1050000</v>
      </c>
      <c r="F278">
        <v>232440</v>
      </c>
      <c r="G278">
        <v>940890000</v>
      </c>
    </row>
    <row r="279" spans="1:7" x14ac:dyDescent="0.3">
      <c r="A279" t="s">
        <v>532</v>
      </c>
      <c r="B279" t="s">
        <v>533</v>
      </c>
      <c r="C279">
        <v>22.49</v>
      </c>
      <c r="D279">
        <v>16.46</v>
      </c>
      <c r="E279">
        <v>1040000</v>
      </c>
      <c r="F279">
        <v>2020</v>
      </c>
      <c r="G279">
        <v>46640</v>
      </c>
    </row>
    <row r="280" spans="1:7" x14ac:dyDescent="0.3">
      <c r="A280" t="s">
        <v>534</v>
      </c>
      <c r="B280" t="s">
        <v>535</v>
      </c>
      <c r="C280">
        <v>1E-4</v>
      </c>
      <c r="D280">
        <v>1.42</v>
      </c>
      <c r="E280">
        <v>1040000</v>
      </c>
      <c r="F280">
        <v>52780</v>
      </c>
      <c r="G280">
        <v>15900000000</v>
      </c>
    </row>
    <row r="281" spans="1:7" x14ac:dyDescent="0.3">
      <c r="A281" t="s">
        <v>536</v>
      </c>
      <c r="B281" t="s">
        <v>537</v>
      </c>
      <c r="C281">
        <v>1E-4</v>
      </c>
      <c r="D281">
        <v>0</v>
      </c>
      <c r="E281">
        <v>1040000</v>
      </c>
      <c r="G281">
        <v>10000000000</v>
      </c>
    </row>
    <row r="282" spans="1:7" x14ac:dyDescent="0.3">
      <c r="A282" t="s">
        <v>538</v>
      </c>
      <c r="B282" t="s">
        <v>539</v>
      </c>
      <c r="C282">
        <v>206.65</v>
      </c>
      <c r="D282">
        <v>0.74</v>
      </c>
      <c r="E282">
        <v>1040000</v>
      </c>
      <c r="F282">
        <v>1950000</v>
      </c>
      <c r="G282">
        <v>5060</v>
      </c>
    </row>
    <row r="283" spans="1:7" x14ac:dyDescent="0.3">
      <c r="A283" t="s">
        <v>540</v>
      </c>
      <c r="B283" t="s">
        <v>541</v>
      </c>
      <c r="C283">
        <v>5.2499999999999998E-2</v>
      </c>
      <c r="D283">
        <v>0.46</v>
      </c>
      <c r="E283">
        <v>1040000</v>
      </c>
      <c r="F283">
        <v>41040</v>
      </c>
      <c r="G283">
        <v>420690000000</v>
      </c>
    </row>
    <row r="284" spans="1:7" x14ac:dyDescent="0.3">
      <c r="A284" t="s">
        <v>542</v>
      </c>
      <c r="B284" t="s">
        <v>543</v>
      </c>
      <c r="C284">
        <v>1E-3</v>
      </c>
      <c r="D284">
        <v>0.69</v>
      </c>
      <c r="E284">
        <v>1040000</v>
      </c>
      <c r="F284">
        <v>773890</v>
      </c>
      <c r="G284">
        <v>999910000</v>
      </c>
    </row>
    <row r="285" spans="1:7" x14ac:dyDescent="0.3">
      <c r="A285" t="s">
        <v>544</v>
      </c>
      <c r="B285" t="s">
        <v>545</v>
      </c>
      <c r="C285">
        <v>2.0999999999999999E-3</v>
      </c>
      <c r="D285">
        <v>0.95</v>
      </c>
      <c r="E285">
        <v>1040000</v>
      </c>
      <c r="F285">
        <v>118180</v>
      </c>
      <c r="G285">
        <v>504080000</v>
      </c>
    </row>
    <row r="286" spans="1:7" x14ac:dyDescent="0.3">
      <c r="A286" t="s">
        <v>546</v>
      </c>
      <c r="B286" t="s">
        <v>547</v>
      </c>
      <c r="C286">
        <v>6.9699999999999998E-2</v>
      </c>
      <c r="D286">
        <v>0.01</v>
      </c>
      <c r="E286">
        <v>1040000</v>
      </c>
      <c r="F286">
        <v>95060</v>
      </c>
      <c r="G286">
        <v>14950000</v>
      </c>
    </row>
    <row r="287" spans="1:7" x14ac:dyDescent="0.3">
      <c r="A287" t="s">
        <v>548</v>
      </c>
      <c r="B287" t="s">
        <v>549</v>
      </c>
      <c r="C287">
        <v>4.0000000000000001E-3</v>
      </c>
      <c r="D287">
        <v>0</v>
      </c>
      <c r="E287">
        <v>882520</v>
      </c>
      <c r="G287">
        <v>220000000</v>
      </c>
    </row>
    <row r="288" spans="1:7" x14ac:dyDescent="0.3">
      <c r="A288" t="s">
        <v>550</v>
      </c>
      <c r="B288" t="s">
        <v>551</v>
      </c>
      <c r="C288">
        <v>2.0000000000000001E-4</v>
      </c>
      <c r="D288">
        <v>0</v>
      </c>
      <c r="E288">
        <v>880500</v>
      </c>
      <c r="G288">
        <v>4370000000</v>
      </c>
    </row>
    <row r="289" spans="1:7" x14ac:dyDescent="0.3">
      <c r="A289" t="s">
        <v>552</v>
      </c>
      <c r="B289" t="s">
        <v>553</v>
      </c>
      <c r="C289">
        <v>2.0000000000000001E-4</v>
      </c>
      <c r="D289">
        <v>0.01</v>
      </c>
      <c r="E289">
        <v>880190</v>
      </c>
      <c r="F289">
        <v>11550</v>
      </c>
      <c r="G289">
        <v>5420000000</v>
      </c>
    </row>
    <row r="290" spans="1:7" x14ac:dyDescent="0.3">
      <c r="A290" t="s">
        <v>554</v>
      </c>
      <c r="B290" t="s">
        <v>555</v>
      </c>
      <c r="C290">
        <v>64.62</v>
      </c>
      <c r="D290">
        <v>0.56000000000000005</v>
      </c>
      <c r="E290">
        <v>881280</v>
      </c>
      <c r="F290">
        <v>1080000</v>
      </c>
      <c r="G290">
        <v>13630</v>
      </c>
    </row>
    <row r="291" spans="1:7" x14ac:dyDescent="0.3">
      <c r="A291" t="s">
        <v>556</v>
      </c>
      <c r="B291" t="s">
        <v>557</v>
      </c>
      <c r="C291">
        <v>1.83E-2</v>
      </c>
      <c r="D291">
        <v>0.01</v>
      </c>
      <c r="E291">
        <v>878560</v>
      </c>
      <c r="F291">
        <v>3260</v>
      </c>
      <c r="G291">
        <v>48090000</v>
      </c>
    </row>
    <row r="292" spans="1:7" x14ac:dyDescent="0.3">
      <c r="A292" t="s">
        <v>558</v>
      </c>
      <c r="B292" t="s">
        <v>559</v>
      </c>
      <c r="C292">
        <v>3.8800000000000001E-2</v>
      </c>
      <c r="D292">
        <v>0.46</v>
      </c>
      <c r="E292">
        <v>874010</v>
      </c>
      <c r="F292">
        <v>2180000</v>
      </c>
      <c r="G292">
        <v>22500000</v>
      </c>
    </row>
    <row r="293" spans="1:7" x14ac:dyDescent="0.3">
      <c r="A293" t="s">
        <v>560</v>
      </c>
      <c r="B293" t="s">
        <v>561</v>
      </c>
      <c r="C293">
        <v>6.1000000000000004E-3</v>
      </c>
      <c r="D293">
        <v>0.5</v>
      </c>
      <c r="E293">
        <v>873610</v>
      </c>
      <c r="G293">
        <v>144290000</v>
      </c>
    </row>
    <row r="294" spans="1:7" x14ac:dyDescent="0.3">
      <c r="A294" t="s">
        <v>562</v>
      </c>
      <c r="B294" t="s">
        <v>563</v>
      </c>
      <c r="C294">
        <v>270.94</v>
      </c>
      <c r="D294">
        <v>0.05</v>
      </c>
      <c r="E294">
        <v>873320</v>
      </c>
      <c r="F294">
        <v>1270000</v>
      </c>
      <c r="G294">
        <v>3220</v>
      </c>
    </row>
    <row r="295" spans="1:7" x14ac:dyDescent="0.3">
      <c r="A295" t="s">
        <v>564</v>
      </c>
      <c r="B295" t="s">
        <v>564</v>
      </c>
      <c r="C295">
        <v>1E-4</v>
      </c>
      <c r="D295">
        <v>0</v>
      </c>
      <c r="E295">
        <v>870690</v>
      </c>
      <c r="G295">
        <v>8950000000</v>
      </c>
    </row>
    <row r="296" spans="1:7" x14ac:dyDescent="0.3">
      <c r="A296" t="s">
        <v>565</v>
      </c>
      <c r="B296" t="s">
        <v>566</v>
      </c>
      <c r="C296">
        <v>4.4299999999999999E-2</v>
      </c>
      <c r="D296">
        <v>0.13</v>
      </c>
      <c r="E296">
        <v>870390</v>
      </c>
      <c r="F296">
        <v>23600</v>
      </c>
      <c r="G296">
        <v>19630000</v>
      </c>
    </row>
    <row r="297" spans="1:7" x14ac:dyDescent="0.3">
      <c r="A297" t="s">
        <v>567</v>
      </c>
      <c r="B297" t="s">
        <v>568</v>
      </c>
      <c r="C297">
        <v>20.239999999999998</v>
      </c>
      <c r="D297">
        <v>0.28000000000000003</v>
      </c>
      <c r="E297">
        <v>865490</v>
      </c>
      <c r="F297">
        <v>2150000</v>
      </c>
      <c r="G297">
        <v>42740</v>
      </c>
    </row>
    <row r="298" spans="1:7" x14ac:dyDescent="0.3">
      <c r="A298" t="s">
        <v>569</v>
      </c>
      <c r="B298" t="s">
        <v>570</v>
      </c>
      <c r="C298">
        <v>1.41E-2</v>
      </c>
      <c r="D298">
        <v>0.12</v>
      </c>
      <c r="E298">
        <v>864710</v>
      </c>
      <c r="F298">
        <v>39030</v>
      </c>
      <c r="G298">
        <v>61470000</v>
      </c>
    </row>
    <row r="299" spans="1:7" x14ac:dyDescent="0.3">
      <c r="A299" t="s">
        <v>571</v>
      </c>
      <c r="B299" t="s">
        <v>572</v>
      </c>
      <c r="C299">
        <v>6.7999999999999996E-3</v>
      </c>
      <c r="D299">
        <v>0.32</v>
      </c>
      <c r="E299">
        <v>863810</v>
      </c>
      <c r="F299">
        <v>75990</v>
      </c>
      <c r="G299">
        <v>126120000</v>
      </c>
    </row>
    <row r="300" spans="1:7" x14ac:dyDescent="0.3">
      <c r="A300" t="s">
        <v>573</v>
      </c>
      <c r="B300" t="s">
        <v>574</v>
      </c>
      <c r="C300">
        <v>2.0000000000000001E-4</v>
      </c>
      <c r="D300">
        <v>2.02</v>
      </c>
      <c r="E300">
        <v>863090</v>
      </c>
      <c r="F300">
        <v>182740</v>
      </c>
      <c r="G300">
        <v>3610000000</v>
      </c>
    </row>
    <row r="301" spans="1:7" x14ac:dyDescent="0.3">
      <c r="A301" t="s">
        <v>575</v>
      </c>
      <c r="B301" t="s">
        <v>576</v>
      </c>
      <c r="C301">
        <v>8.9999999999999998E-4</v>
      </c>
      <c r="D301">
        <v>4.4800000000000004</v>
      </c>
      <c r="E301">
        <v>861080</v>
      </c>
      <c r="F301">
        <v>1760</v>
      </c>
      <c r="G301">
        <v>944180000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E51A-113A-4121-8775-116D916DAF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B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45.33203125" bestFit="1" customWidth="1"/>
    <col min="2" max="2" width="12.5546875" bestFit="1" customWidth="1"/>
    <col min="3" max="3" width="12.33203125" customWidth="1"/>
    <col min="4" max="4" width="15" customWidth="1"/>
    <col min="5" max="5" width="12.6640625" customWidth="1"/>
    <col min="6" max="6" width="14.33203125" customWidth="1"/>
    <col min="7" max="7" width="18" customWidth="1"/>
    <col min="8" max="8" width="12" bestFit="1" customWidth="1"/>
    <col min="9" max="9" width="10.10937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577</v>
      </c>
      <c r="I1" s="1" t="s">
        <v>578</v>
      </c>
      <c r="J1" s="1" t="s">
        <v>579</v>
      </c>
    </row>
    <row r="2" spans="1:10" x14ac:dyDescent="0.3">
      <c r="A2" t="s">
        <v>7</v>
      </c>
      <c r="B2" t="s">
        <v>8</v>
      </c>
      <c r="C2">
        <v>127.69</v>
      </c>
      <c r="D2">
        <v>0.16</v>
      </c>
      <c r="E2">
        <v>6050000</v>
      </c>
      <c r="F2">
        <v>1570000</v>
      </c>
      <c r="G2">
        <v>47430</v>
      </c>
      <c r="H2">
        <f>Table2[[#This Row],[Volume (24h)]]/Table2[[#This Row],[Circulating Supply]]</f>
        <v>33.101412608053977</v>
      </c>
      <c r="I2">
        <f>RANK(Table2[[#This Row],[Market Cap]],Table2[Market Cap],0)</f>
        <v>165</v>
      </c>
      <c r="J2" t="str">
        <f t="shared" ref="J2:J65" si="0">IF(C2&lt;=0.5,"0-0.5",
IF(C2&lt;=1,"0.5-1",
IF(C2&lt;=2,"1-2",
IF(C2&lt;=10,"2-10",
IF(C2&lt;=100,"10-100",
IF(C2&lt;=10000,"100-10000",
"10000+"))))))</f>
        <v>100-10000</v>
      </c>
    </row>
    <row r="3" spans="1:10" x14ac:dyDescent="0.3">
      <c r="A3" t="s">
        <v>9</v>
      </c>
      <c r="B3" t="s">
        <v>10</v>
      </c>
      <c r="C3">
        <v>62905.02</v>
      </c>
      <c r="D3">
        <v>0.01</v>
      </c>
      <c r="E3">
        <v>1260000000000</v>
      </c>
      <c r="F3">
        <v>30990000000</v>
      </c>
      <c r="G3">
        <v>20060000</v>
      </c>
      <c r="H3">
        <f>Table2[[#This Row],[Volume (24h)]]/Table2[[#This Row],[Circulating Supply]]</f>
        <v>1544.865403788634</v>
      </c>
      <c r="I3">
        <f>RANK(Table2[[#This Row],[Market Cap]],Table2[Market Cap],0)</f>
        <v>1</v>
      </c>
      <c r="J3" t="str">
        <f t="shared" si="0"/>
        <v>10000+</v>
      </c>
    </row>
    <row r="4" spans="1:10" x14ac:dyDescent="0.3">
      <c r="A4" t="s">
        <v>11</v>
      </c>
      <c r="B4" t="s">
        <v>12</v>
      </c>
      <c r="C4">
        <v>1861.07</v>
      </c>
      <c r="D4">
        <v>0.27</v>
      </c>
      <c r="E4">
        <v>224490000000</v>
      </c>
      <c r="F4">
        <v>10560000000</v>
      </c>
      <c r="G4">
        <v>120680000</v>
      </c>
      <c r="H4">
        <f>Table2[[#This Row],[Volume (24h)]]/Table2[[#This Row],[Circulating Supply]]</f>
        <v>87.504143188597951</v>
      </c>
      <c r="I4">
        <f>RANK(Table2[[#This Row],[Market Cap]],Table2[Market Cap],0)</f>
        <v>2</v>
      </c>
      <c r="J4" t="str">
        <f t="shared" si="0"/>
        <v>100-10000</v>
      </c>
    </row>
    <row r="5" spans="1:10" x14ac:dyDescent="0.3">
      <c r="A5" t="s">
        <v>13</v>
      </c>
      <c r="B5" t="s">
        <v>14</v>
      </c>
      <c r="C5">
        <v>0.999</v>
      </c>
      <c r="D5">
        <v>0.01</v>
      </c>
      <c r="E5">
        <v>183630000000</v>
      </c>
      <c r="F5">
        <v>56830000000</v>
      </c>
      <c r="G5">
        <v>183810000000</v>
      </c>
      <c r="H5">
        <f>Table2[[#This Row],[Volume (24h)]]/Table2[[#This Row],[Circulating Supply]]</f>
        <v>0.30917795549752464</v>
      </c>
      <c r="I5">
        <f>RANK(Table2[[#This Row],[Market Cap]],Table2[Market Cap],0)</f>
        <v>3</v>
      </c>
      <c r="J5" t="str">
        <f t="shared" si="0"/>
        <v>0.5-1</v>
      </c>
    </row>
    <row r="6" spans="1:10" x14ac:dyDescent="0.3">
      <c r="A6" t="s">
        <v>15</v>
      </c>
      <c r="B6" t="s">
        <v>15</v>
      </c>
      <c r="C6">
        <v>586.66999999999996</v>
      </c>
      <c r="D6">
        <v>0.21</v>
      </c>
      <c r="E6">
        <v>78080000000</v>
      </c>
      <c r="F6">
        <v>1230000000</v>
      </c>
      <c r="G6">
        <v>133160000</v>
      </c>
      <c r="H6">
        <f>Table2[[#This Row],[Volume (24h)]]/Table2[[#This Row],[Circulating Supply]]</f>
        <v>9.237008110543707</v>
      </c>
      <c r="I6">
        <f>RANK(Table2[[#This Row],[Market Cap]],Table2[Market Cap],0)</f>
        <v>4</v>
      </c>
      <c r="J6" t="str">
        <f t="shared" si="0"/>
        <v>100-10000</v>
      </c>
    </row>
    <row r="7" spans="1:10" x14ac:dyDescent="0.3">
      <c r="A7" t="s">
        <v>16</v>
      </c>
      <c r="B7" t="s">
        <v>16</v>
      </c>
      <c r="C7">
        <v>0.99980000000000002</v>
      </c>
      <c r="D7">
        <v>0.01</v>
      </c>
      <c r="E7">
        <v>71920000000</v>
      </c>
      <c r="F7">
        <v>9790000000</v>
      </c>
      <c r="G7">
        <v>71940000000</v>
      </c>
      <c r="H7">
        <f>Table2[[#This Row],[Volume (24h)]]/Table2[[#This Row],[Circulating Supply]]</f>
        <v>0.13608562691131498</v>
      </c>
      <c r="I7">
        <f>RANK(Table2[[#This Row],[Market Cap]],Table2[Market Cap],0)</f>
        <v>5</v>
      </c>
      <c r="J7" t="str">
        <f t="shared" si="0"/>
        <v>0.5-1</v>
      </c>
    </row>
    <row r="8" spans="1:10" x14ac:dyDescent="0.3">
      <c r="A8" t="s">
        <v>17</v>
      </c>
      <c r="B8" t="s">
        <v>17</v>
      </c>
      <c r="C8">
        <v>1.06</v>
      </c>
      <c r="D8">
        <v>0.06</v>
      </c>
      <c r="E8">
        <v>66340000000</v>
      </c>
      <c r="F8">
        <v>1160000000</v>
      </c>
      <c r="G8">
        <v>62530000000</v>
      </c>
      <c r="H8">
        <f>Table2[[#This Row],[Volume (24h)]]/Table2[[#This Row],[Circulating Supply]]</f>
        <v>1.8551095474172396E-2</v>
      </c>
      <c r="I8">
        <f>RANK(Table2[[#This Row],[Market Cap]],Table2[Market Cap],0)</f>
        <v>6</v>
      </c>
      <c r="J8" t="str">
        <f t="shared" si="0"/>
        <v>1-2</v>
      </c>
    </row>
    <row r="9" spans="1:10" x14ac:dyDescent="0.3">
      <c r="A9" t="s">
        <v>18</v>
      </c>
      <c r="B9" t="s">
        <v>19</v>
      </c>
      <c r="C9">
        <v>72.87</v>
      </c>
      <c r="D9">
        <v>0.24</v>
      </c>
      <c r="E9">
        <v>42240000000</v>
      </c>
      <c r="F9">
        <v>1610000000</v>
      </c>
      <c r="G9">
        <v>579700000</v>
      </c>
      <c r="H9">
        <f>Table2[[#This Row],[Volume (24h)]]/Table2[[#This Row],[Circulating Supply]]</f>
        <v>2.7772986027255477</v>
      </c>
      <c r="I9">
        <f>RANK(Table2[[#This Row],[Market Cap]],Table2[Market Cap],0)</f>
        <v>7</v>
      </c>
      <c r="J9" t="str">
        <f t="shared" si="0"/>
        <v>10-100</v>
      </c>
    </row>
    <row r="10" spans="1:10" x14ac:dyDescent="0.3">
      <c r="A10" t="s">
        <v>20</v>
      </c>
      <c r="B10" t="s">
        <v>21</v>
      </c>
      <c r="C10">
        <v>0.32579999999999998</v>
      </c>
      <c r="D10">
        <v>0.03</v>
      </c>
      <c r="E10">
        <v>30910000000</v>
      </c>
      <c r="F10">
        <v>473310000</v>
      </c>
      <c r="G10">
        <v>94880000000</v>
      </c>
      <c r="H10">
        <f>Table2[[#This Row],[Volume (24h)]]/Table2[[#This Row],[Circulating Supply]]</f>
        <v>4.9885118043844854E-3</v>
      </c>
      <c r="I10">
        <f>RANK(Table2[[#This Row],[Market Cap]],Table2[Market Cap],0)</f>
        <v>8</v>
      </c>
      <c r="J10" t="str">
        <f t="shared" si="0"/>
        <v>0-0.5</v>
      </c>
    </row>
    <row r="11" spans="1:10" x14ac:dyDescent="0.3">
      <c r="A11" t="s">
        <v>22</v>
      </c>
      <c r="B11" t="s">
        <v>23</v>
      </c>
      <c r="C11">
        <v>52.77</v>
      </c>
      <c r="D11">
        <v>0.92</v>
      </c>
      <c r="E11">
        <v>13320000000</v>
      </c>
      <c r="F11">
        <v>385760000</v>
      </c>
      <c r="G11">
        <v>252490000</v>
      </c>
      <c r="H11">
        <f>Table2[[#This Row],[Volume (24h)]]/Table2[[#This Row],[Circulating Supply]]</f>
        <v>1.5278228840746169</v>
      </c>
      <c r="I11">
        <f>RANK(Table2[[#This Row],[Market Cap]],Table2[Market Cap],0)</f>
        <v>9</v>
      </c>
      <c r="J11" t="str">
        <f t="shared" si="0"/>
        <v>10-100</v>
      </c>
    </row>
    <row r="12" spans="1:10" x14ac:dyDescent="0.3">
      <c r="A12" t="s">
        <v>24</v>
      </c>
      <c r="B12" t="s">
        <v>25</v>
      </c>
      <c r="C12">
        <v>6.9449999999999998E-2</v>
      </c>
      <c r="D12">
        <v>0.41</v>
      </c>
      <c r="E12">
        <v>10780000000</v>
      </c>
      <c r="F12">
        <v>572720000</v>
      </c>
      <c r="G12">
        <v>155300000000</v>
      </c>
      <c r="H12">
        <f>Table2[[#This Row],[Volume (24h)]]/Table2[[#This Row],[Circulating Supply]]</f>
        <v>3.68783000643915E-3</v>
      </c>
      <c r="I12">
        <f>RANK(Table2[[#This Row],[Market Cap]],Table2[Market Cap],0)</f>
        <v>10</v>
      </c>
      <c r="J12" t="str">
        <f t="shared" si="0"/>
        <v>0-0.5</v>
      </c>
    </row>
    <row r="13" spans="1:10" x14ac:dyDescent="0.3">
      <c r="A13" t="s">
        <v>26</v>
      </c>
      <c r="B13" t="s">
        <v>27</v>
      </c>
      <c r="C13">
        <v>9.75</v>
      </c>
      <c r="D13">
        <v>0</v>
      </c>
      <c r="E13">
        <v>8970000000</v>
      </c>
      <c r="F13">
        <v>515230</v>
      </c>
      <c r="G13">
        <v>920070000</v>
      </c>
      <c r="H13">
        <f>Table2[[#This Row],[Volume (24h)]]/Table2[[#This Row],[Circulating Supply]]</f>
        <v>5.5999000076081167E-4</v>
      </c>
      <c r="I13">
        <f>RANK(Table2[[#This Row],[Market Cap]],Table2[Market Cap],0)</f>
        <v>11</v>
      </c>
      <c r="J13" t="str">
        <f t="shared" si="0"/>
        <v>2-10</v>
      </c>
    </row>
    <row r="14" spans="1:10" x14ac:dyDescent="0.3">
      <c r="A14" t="s">
        <v>28</v>
      </c>
      <c r="B14" t="s">
        <v>29</v>
      </c>
      <c r="C14">
        <v>455.74</v>
      </c>
      <c r="D14">
        <v>0.22</v>
      </c>
      <c r="E14">
        <v>7650000000</v>
      </c>
      <c r="F14">
        <v>285310000</v>
      </c>
      <c r="G14">
        <v>16790000</v>
      </c>
      <c r="H14">
        <f>Table2[[#This Row],[Volume (24h)]]/Table2[[#This Row],[Circulating Supply]]</f>
        <v>16.992852888624181</v>
      </c>
      <c r="I14">
        <f>RANK(Table2[[#This Row],[Market Cap]],Table2[Market Cap],0)</f>
        <v>14</v>
      </c>
      <c r="J14" t="str">
        <f t="shared" si="0"/>
        <v>100-10000</v>
      </c>
    </row>
    <row r="15" spans="1:10" x14ac:dyDescent="0.3">
      <c r="A15" t="s">
        <v>30</v>
      </c>
      <c r="B15" t="s">
        <v>31</v>
      </c>
      <c r="C15">
        <v>354.89</v>
      </c>
      <c r="D15">
        <v>0.57999999999999996</v>
      </c>
      <c r="E15">
        <v>6660000000</v>
      </c>
      <c r="F15">
        <v>93100000</v>
      </c>
      <c r="G15">
        <v>18780000</v>
      </c>
      <c r="H15">
        <f>Table2[[#This Row],[Volume (24h)]]/Table2[[#This Row],[Circulating Supply]]</f>
        <v>4.9574014909478166</v>
      </c>
      <c r="I15">
        <f>RANK(Table2[[#This Row],[Market Cap]],Table2[Market Cap],0)</f>
        <v>15</v>
      </c>
      <c r="J15" t="str">
        <f t="shared" si="0"/>
        <v>100-10000</v>
      </c>
    </row>
    <row r="16" spans="1:10" x14ac:dyDescent="0.3">
      <c r="A16" t="s">
        <v>32</v>
      </c>
      <c r="B16" t="s">
        <v>33</v>
      </c>
      <c r="C16">
        <v>0.16869999999999999</v>
      </c>
      <c r="D16">
        <v>0.85</v>
      </c>
      <c r="E16">
        <v>6160000000</v>
      </c>
      <c r="F16">
        <v>318820000</v>
      </c>
      <c r="G16">
        <v>36500000000</v>
      </c>
      <c r="H16">
        <f>Table2[[#This Row],[Volume (24h)]]/Table2[[#This Row],[Circulating Supply]]</f>
        <v>8.7347945205479456E-3</v>
      </c>
      <c r="I16">
        <f>RANK(Table2[[#This Row],[Market Cap]],Table2[Market Cap],0)</f>
        <v>16</v>
      </c>
      <c r="J16" t="str">
        <f t="shared" si="0"/>
        <v>0-0.5</v>
      </c>
    </row>
    <row r="17" spans="1:10" x14ac:dyDescent="0.3">
      <c r="A17" t="s">
        <v>34</v>
      </c>
      <c r="B17" t="s">
        <v>35</v>
      </c>
      <c r="C17">
        <v>0.7379</v>
      </c>
      <c r="D17">
        <v>0.2</v>
      </c>
      <c r="E17">
        <v>268070000</v>
      </c>
      <c r="F17">
        <v>28930000</v>
      </c>
      <c r="G17">
        <v>363280000</v>
      </c>
      <c r="H17">
        <f>Table2[[#This Row],[Volume (24h)]]/Table2[[#This Row],[Circulating Supply]]</f>
        <v>7.9635542831975339E-2</v>
      </c>
      <c r="I17">
        <f>RANK(Table2[[#This Row],[Market Cap]],Table2[Market Cap],0)</f>
        <v>29</v>
      </c>
      <c r="J17" t="str">
        <f t="shared" si="0"/>
        <v>0.5-1</v>
      </c>
    </row>
    <row r="18" spans="1:10" x14ac:dyDescent="0.3">
      <c r="A18" t="s">
        <v>36</v>
      </c>
      <c r="B18" t="s">
        <v>37</v>
      </c>
      <c r="C18">
        <v>6.2690999999999997E-2</v>
      </c>
      <c r="D18">
        <v>0.82</v>
      </c>
      <c r="E18">
        <v>266440000</v>
      </c>
      <c r="F18">
        <v>6580000</v>
      </c>
      <c r="G18">
        <v>990100000000000</v>
      </c>
      <c r="H18">
        <f>Table2[[#This Row],[Volume (24h)]]/Table2[[#This Row],[Circulating Supply]]</f>
        <v>6.6457933542066459E-9</v>
      </c>
      <c r="I18">
        <f>RANK(Table2[[#This Row],[Market Cap]],Table2[Market Cap],0)</f>
        <v>30</v>
      </c>
      <c r="J18" t="str">
        <f t="shared" si="0"/>
        <v>0-0.5</v>
      </c>
    </row>
    <row r="19" spans="1:10" x14ac:dyDescent="0.3">
      <c r="A19" t="s">
        <v>38</v>
      </c>
      <c r="B19" t="s">
        <v>39</v>
      </c>
      <c r="C19">
        <v>6.2614000000000003E-2</v>
      </c>
      <c r="D19">
        <v>0.18</v>
      </c>
      <c r="E19">
        <v>258040000</v>
      </c>
      <c r="F19">
        <v>4450000</v>
      </c>
      <c r="G19">
        <v>987030000000000</v>
      </c>
      <c r="H19">
        <f>Table2[[#This Row],[Volume (24h)]]/Table2[[#This Row],[Circulating Supply]]</f>
        <v>4.5084749197086209E-9</v>
      </c>
      <c r="I19">
        <f>RANK(Table2[[#This Row],[Market Cap]],Table2[Market Cap],0)</f>
        <v>32</v>
      </c>
      <c r="J19" t="str">
        <f t="shared" si="0"/>
        <v>0-0.5</v>
      </c>
    </row>
    <row r="20" spans="1:10" x14ac:dyDescent="0.3">
      <c r="A20" t="s">
        <v>40</v>
      </c>
      <c r="B20" t="s">
        <v>40</v>
      </c>
      <c r="C20">
        <v>1.05</v>
      </c>
      <c r="D20">
        <v>1.45</v>
      </c>
      <c r="E20">
        <v>255660000</v>
      </c>
      <c r="F20">
        <v>53800000</v>
      </c>
      <c r="G20">
        <v>241380000</v>
      </c>
      <c r="H20">
        <f>Table2[[#This Row],[Volume (24h)]]/Table2[[#This Row],[Circulating Supply]]</f>
        <v>0.22288507747120723</v>
      </c>
      <c r="I20">
        <f>RANK(Table2[[#This Row],[Market Cap]],Table2[Market Cap],0)</f>
        <v>33</v>
      </c>
      <c r="J20" t="str">
        <f t="shared" si="0"/>
        <v>1-2</v>
      </c>
    </row>
    <row r="21" spans="1:10" x14ac:dyDescent="0.3">
      <c r="A21" t="s">
        <v>41</v>
      </c>
      <c r="B21" t="s">
        <v>42</v>
      </c>
      <c r="C21">
        <v>0.50609999999999999</v>
      </c>
      <c r="D21">
        <v>0.46</v>
      </c>
      <c r="E21">
        <v>255370000</v>
      </c>
      <c r="F21">
        <v>25600000</v>
      </c>
      <c r="G21">
        <v>504560000</v>
      </c>
      <c r="H21">
        <f>Table2[[#This Row],[Volume (24h)]]/Table2[[#This Row],[Circulating Supply]]</f>
        <v>5.0737276042492466E-2</v>
      </c>
      <c r="I21">
        <f>RANK(Table2[[#This Row],[Market Cap]],Table2[Market Cap],0)</f>
        <v>34</v>
      </c>
      <c r="J21" t="str">
        <f t="shared" si="0"/>
        <v>0.5-1</v>
      </c>
    </row>
    <row r="22" spans="1:10" x14ac:dyDescent="0.3">
      <c r="A22" t="s">
        <v>43</v>
      </c>
      <c r="B22" t="s">
        <v>44</v>
      </c>
      <c r="C22">
        <v>12.58</v>
      </c>
      <c r="D22">
        <v>0.47</v>
      </c>
      <c r="E22">
        <v>252500000</v>
      </c>
      <c r="F22">
        <v>8450000</v>
      </c>
      <c r="G22">
        <v>20060000</v>
      </c>
      <c r="H22">
        <f>Table2[[#This Row],[Volume (24h)]]/Table2[[#This Row],[Circulating Supply]]</f>
        <v>0.42123629112662014</v>
      </c>
      <c r="I22">
        <f>RANK(Table2[[#This Row],[Market Cap]],Table2[Market Cap],0)</f>
        <v>35</v>
      </c>
      <c r="J22" t="str">
        <f t="shared" si="0"/>
        <v>10-100</v>
      </c>
    </row>
    <row r="23" spans="1:10" x14ac:dyDescent="0.3">
      <c r="A23" t="s">
        <v>45</v>
      </c>
      <c r="B23" t="s">
        <v>46</v>
      </c>
      <c r="C23">
        <v>0.13880000000000001</v>
      </c>
      <c r="D23">
        <v>0.4</v>
      </c>
      <c r="E23">
        <v>251970000</v>
      </c>
      <c r="F23">
        <v>4730000</v>
      </c>
      <c r="G23">
        <v>1810000000</v>
      </c>
      <c r="H23">
        <f>Table2[[#This Row],[Volume (24h)]]/Table2[[#This Row],[Circulating Supply]]</f>
        <v>2.6132596685082871E-3</v>
      </c>
      <c r="I23">
        <f>RANK(Table2[[#This Row],[Market Cap]],Table2[Market Cap],0)</f>
        <v>36</v>
      </c>
      <c r="J23" t="str">
        <f t="shared" si="0"/>
        <v>0-0.5</v>
      </c>
    </row>
    <row r="24" spans="1:10" x14ac:dyDescent="0.3">
      <c r="A24" t="s">
        <v>47</v>
      </c>
      <c r="B24" t="s">
        <v>48</v>
      </c>
      <c r="C24">
        <v>1.44</v>
      </c>
      <c r="D24">
        <v>0.39</v>
      </c>
      <c r="E24">
        <v>247330000</v>
      </c>
      <c r="F24">
        <v>24390000</v>
      </c>
      <c r="G24">
        <v>171750000</v>
      </c>
      <c r="H24">
        <f>Table2[[#This Row],[Volume (24h)]]/Table2[[#This Row],[Circulating Supply]]</f>
        <v>0.14200873362445415</v>
      </c>
      <c r="I24">
        <f>RANK(Table2[[#This Row],[Market Cap]],Table2[Market Cap],0)</f>
        <v>37</v>
      </c>
      <c r="J24" t="str">
        <f t="shared" si="0"/>
        <v>1-2</v>
      </c>
    </row>
    <row r="25" spans="1:10" x14ac:dyDescent="0.3">
      <c r="A25" t="s">
        <v>49</v>
      </c>
      <c r="B25" t="s">
        <v>50</v>
      </c>
      <c r="C25">
        <v>2.07E-2</v>
      </c>
      <c r="D25">
        <v>0.02</v>
      </c>
      <c r="E25">
        <v>244880000</v>
      </c>
      <c r="F25">
        <v>14140000</v>
      </c>
      <c r="G25">
        <v>11820000000</v>
      </c>
      <c r="H25">
        <f>Table2[[#This Row],[Volume (24h)]]/Table2[[#This Row],[Circulating Supply]]</f>
        <v>1.1962774957698815E-3</v>
      </c>
      <c r="I25">
        <f>RANK(Table2[[#This Row],[Market Cap]],Table2[Market Cap],0)</f>
        <v>38</v>
      </c>
      <c r="J25" t="str">
        <f t="shared" si="0"/>
        <v>0-0.5</v>
      </c>
    </row>
    <row r="26" spans="1:10" x14ac:dyDescent="0.3">
      <c r="A26" t="s">
        <v>51</v>
      </c>
      <c r="B26" t="s">
        <v>52</v>
      </c>
      <c r="C26">
        <v>5.2774000000000001E-2</v>
      </c>
      <c r="D26">
        <v>0.42</v>
      </c>
      <c r="E26">
        <v>244180000</v>
      </c>
      <c r="F26">
        <v>33610000</v>
      </c>
      <c r="G26">
        <v>87990000000000</v>
      </c>
      <c r="H26">
        <f>Table2[[#This Row],[Volume (24h)]]/Table2[[#This Row],[Circulating Supply]]</f>
        <v>3.819752244573247E-7</v>
      </c>
      <c r="I26">
        <f>RANK(Table2[[#This Row],[Market Cap]],Table2[Market Cap],0)</f>
        <v>39</v>
      </c>
      <c r="J26" t="str">
        <f t="shared" si="0"/>
        <v>0-0.5</v>
      </c>
    </row>
    <row r="27" spans="1:10" x14ac:dyDescent="0.3">
      <c r="A27" t="s">
        <v>53</v>
      </c>
      <c r="B27" t="s">
        <v>54</v>
      </c>
      <c r="C27">
        <v>13.16</v>
      </c>
      <c r="D27">
        <v>0.13</v>
      </c>
      <c r="E27">
        <v>230930000</v>
      </c>
      <c r="F27">
        <v>3640000</v>
      </c>
      <c r="G27">
        <v>17530000</v>
      </c>
      <c r="H27">
        <f>Table2[[#This Row],[Volume (24h)]]/Table2[[#This Row],[Circulating Supply]]</f>
        <v>0.20764403879064461</v>
      </c>
      <c r="I27">
        <f>RANK(Table2[[#This Row],[Market Cap]],Table2[Market Cap],0)</f>
        <v>40</v>
      </c>
      <c r="J27" t="str">
        <f t="shared" si="0"/>
        <v>10-100</v>
      </c>
    </row>
    <row r="28" spans="1:10" x14ac:dyDescent="0.3">
      <c r="A28" t="s">
        <v>55</v>
      </c>
      <c r="B28" t="s">
        <v>56</v>
      </c>
      <c r="C28">
        <v>4.2750000000000003E-2</v>
      </c>
      <c r="D28">
        <v>0.84</v>
      </c>
      <c r="E28">
        <v>223520000</v>
      </c>
      <c r="F28">
        <v>87220000</v>
      </c>
      <c r="G28">
        <v>5220000000</v>
      </c>
      <c r="H28">
        <f>Table2[[#This Row],[Volume (24h)]]/Table2[[#This Row],[Circulating Supply]]</f>
        <v>1.6708812260536398E-2</v>
      </c>
      <c r="I28">
        <f>RANK(Table2[[#This Row],[Market Cap]],Table2[Market Cap],0)</f>
        <v>41</v>
      </c>
      <c r="J28" t="str">
        <f t="shared" si="0"/>
        <v>0-0.5</v>
      </c>
    </row>
    <row r="29" spans="1:10" x14ac:dyDescent="0.3">
      <c r="A29" t="s">
        <v>57</v>
      </c>
      <c r="B29" t="s">
        <v>58</v>
      </c>
      <c r="C29">
        <v>0.20019999999999999</v>
      </c>
      <c r="D29">
        <v>0.34</v>
      </c>
      <c r="E29">
        <v>218720000</v>
      </c>
      <c r="F29">
        <v>4940000</v>
      </c>
      <c r="G29">
        <v>1090000000</v>
      </c>
      <c r="H29">
        <f>Table2[[#This Row],[Volume (24h)]]/Table2[[#This Row],[Circulating Supply]]</f>
        <v>4.532110091743119E-3</v>
      </c>
      <c r="I29">
        <f>RANK(Table2[[#This Row],[Market Cap]],Table2[Market Cap],0)</f>
        <v>42</v>
      </c>
      <c r="J29" t="str">
        <f t="shared" si="0"/>
        <v>0-0.5</v>
      </c>
    </row>
    <row r="30" spans="1:10" x14ac:dyDescent="0.3">
      <c r="A30" t="s">
        <v>59</v>
      </c>
      <c r="B30" t="s">
        <v>60</v>
      </c>
      <c r="C30">
        <v>4.3010000000000001E-3</v>
      </c>
      <c r="D30">
        <v>0.92</v>
      </c>
      <c r="E30">
        <v>212680000</v>
      </c>
      <c r="F30">
        <v>7320000</v>
      </c>
      <c r="G30">
        <v>49440000000</v>
      </c>
      <c r="H30">
        <f>Table2[[#This Row],[Volume (24h)]]/Table2[[#This Row],[Circulating Supply]]</f>
        <v>1.4805825242718447E-4</v>
      </c>
      <c r="I30">
        <f>RANK(Table2[[#This Row],[Market Cap]],Table2[Market Cap],0)</f>
        <v>43</v>
      </c>
      <c r="J30" t="str">
        <f t="shared" si="0"/>
        <v>0-0.5</v>
      </c>
    </row>
    <row r="31" spans="1:10" x14ac:dyDescent="0.3">
      <c r="A31" t="s">
        <v>61</v>
      </c>
      <c r="B31" t="s">
        <v>62</v>
      </c>
      <c r="C31">
        <v>0.1062</v>
      </c>
      <c r="D31">
        <v>0.19</v>
      </c>
      <c r="E31">
        <v>212500000</v>
      </c>
      <c r="F31">
        <v>10400000</v>
      </c>
      <c r="G31">
        <v>2000000000</v>
      </c>
      <c r="H31">
        <f>Table2[[#This Row],[Volume (24h)]]/Table2[[#This Row],[Circulating Supply]]</f>
        <v>5.1999999999999998E-3</v>
      </c>
      <c r="I31">
        <f>RANK(Table2[[#This Row],[Market Cap]],Table2[Market Cap],0)</f>
        <v>44</v>
      </c>
      <c r="J31" t="str">
        <f t="shared" si="0"/>
        <v>0-0.5</v>
      </c>
    </row>
    <row r="32" spans="1:10" x14ac:dyDescent="0.3">
      <c r="A32" t="s">
        <v>63</v>
      </c>
      <c r="B32" t="s">
        <v>64</v>
      </c>
      <c r="C32">
        <v>1.2749999999999999E-2</v>
      </c>
      <c r="D32">
        <v>0.02</v>
      </c>
      <c r="E32">
        <v>8850000000</v>
      </c>
      <c r="F32">
        <v>27530000</v>
      </c>
      <c r="G32">
        <v>694570000000</v>
      </c>
      <c r="H32">
        <f>Table2[[#This Row],[Volume (24h)]]/Table2[[#This Row],[Circulating Supply]]</f>
        <v>3.963603380508804E-5</v>
      </c>
      <c r="I32">
        <f>RANK(Table2[[#This Row],[Market Cap]],Table2[Market Cap],0)</f>
        <v>12</v>
      </c>
      <c r="J32" t="str">
        <f t="shared" si="0"/>
        <v>0-0.5</v>
      </c>
    </row>
    <row r="33" spans="1:10" x14ac:dyDescent="0.3">
      <c r="A33" t="s">
        <v>65</v>
      </c>
      <c r="B33" t="s">
        <v>66</v>
      </c>
      <c r="C33">
        <v>0.7339</v>
      </c>
      <c r="D33">
        <v>1.1299999999999999</v>
      </c>
      <c r="E33">
        <v>8160000000</v>
      </c>
      <c r="F33">
        <v>236610</v>
      </c>
      <c r="G33">
        <v>11120000000</v>
      </c>
      <c r="H33">
        <f>Table2[[#This Row],[Volume (24h)]]/Table2[[#This Row],[Circulating Supply]]</f>
        <v>2.1277877697841726E-5</v>
      </c>
      <c r="I33">
        <f>RANK(Table2[[#This Row],[Market Cap]],Table2[Market Cap],0)</f>
        <v>13</v>
      </c>
      <c r="J33" t="str">
        <f t="shared" si="0"/>
        <v>0.5-1</v>
      </c>
    </row>
    <row r="34" spans="1:10" x14ac:dyDescent="0.3">
      <c r="A34" t="s">
        <v>67</v>
      </c>
      <c r="B34" t="s">
        <v>68</v>
      </c>
      <c r="C34">
        <v>1.1399999999999999</v>
      </c>
      <c r="D34">
        <v>0</v>
      </c>
      <c r="E34">
        <v>2150000000</v>
      </c>
      <c r="F34">
        <v>540150</v>
      </c>
      <c r="G34">
        <v>1880000000</v>
      </c>
      <c r="H34">
        <f>Table2[[#This Row],[Volume (24h)]]/Table2[[#This Row],[Circulating Supply]]</f>
        <v>2.8731382978723402E-4</v>
      </c>
      <c r="I34">
        <f>RANK(Table2[[#This Row],[Market Cap]],Table2[Market Cap],0)</f>
        <v>17</v>
      </c>
      <c r="J34" t="str">
        <f t="shared" si="0"/>
        <v>1-2</v>
      </c>
    </row>
    <row r="35" spans="1:10" x14ac:dyDescent="0.3">
      <c r="A35" t="s">
        <v>69</v>
      </c>
      <c r="B35" t="s">
        <v>69</v>
      </c>
      <c r="C35">
        <v>5.1778999999999999E-2</v>
      </c>
      <c r="D35">
        <v>0.03</v>
      </c>
      <c r="E35">
        <v>1590000000</v>
      </c>
      <c r="F35">
        <v>36270000</v>
      </c>
      <c r="G35">
        <v>898230000000000</v>
      </c>
      <c r="H35">
        <f>Table2[[#This Row],[Volume (24h)]]/Table2[[#This Row],[Circulating Supply]]</f>
        <v>4.037941284526235E-8</v>
      </c>
      <c r="I35">
        <f>RANK(Table2[[#This Row],[Market Cap]],Table2[Market Cap],0)</f>
        <v>18</v>
      </c>
      <c r="J35" t="str">
        <f t="shared" si="0"/>
        <v>0-0.5</v>
      </c>
    </row>
    <row r="36" spans="1:10" x14ac:dyDescent="0.3">
      <c r="A36" t="s">
        <v>70</v>
      </c>
      <c r="B36" t="s">
        <v>71</v>
      </c>
      <c r="C36">
        <v>0.99519999999999997</v>
      </c>
      <c r="D36">
        <v>0.06</v>
      </c>
      <c r="E36">
        <v>1250000000</v>
      </c>
      <c r="F36">
        <v>587510</v>
      </c>
      <c r="G36">
        <v>1260000000</v>
      </c>
      <c r="H36">
        <f>Table2[[#This Row],[Volume (24h)]]/Table2[[#This Row],[Circulating Supply]]</f>
        <v>4.6627777777777775E-4</v>
      </c>
      <c r="I36">
        <f>RANK(Table2[[#This Row],[Market Cap]],Table2[Market Cap],0)</f>
        <v>19</v>
      </c>
      <c r="J36" t="str">
        <f t="shared" si="0"/>
        <v>0.5-1</v>
      </c>
    </row>
    <row r="37" spans="1:10" x14ac:dyDescent="0.3">
      <c r="A37" t="s">
        <v>72</v>
      </c>
      <c r="B37" t="s">
        <v>72</v>
      </c>
      <c r="C37">
        <v>1</v>
      </c>
      <c r="D37">
        <v>0.01</v>
      </c>
      <c r="E37">
        <v>1110000000</v>
      </c>
      <c r="F37">
        <v>14040000</v>
      </c>
      <c r="G37">
        <v>1110000000</v>
      </c>
      <c r="H37">
        <f>Table2[[#This Row],[Volume (24h)]]/Table2[[#This Row],[Circulating Supply]]</f>
        <v>1.2648648648648649E-2</v>
      </c>
      <c r="I37">
        <f>RANK(Table2[[#This Row],[Market Cap]],Table2[Market Cap],0)</f>
        <v>20</v>
      </c>
      <c r="J37" t="str">
        <f t="shared" si="0"/>
        <v>0.5-1</v>
      </c>
    </row>
    <row r="38" spans="1:10" x14ac:dyDescent="0.3">
      <c r="A38" t="s">
        <v>73</v>
      </c>
      <c r="B38" t="s">
        <v>74</v>
      </c>
      <c r="C38">
        <v>0.1946</v>
      </c>
      <c r="D38">
        <v>1.1399999999999999</v>
      </c>
      <c r="E38">
        <v>867730000</v>
      </c>
      <c r="F38">
        <v>14480000</v>
      </c>
      <c r="G38">
        <v>4450000000</v>
      </c>
      <c r="H38">
        <f>Table2[[#This Row],[Volume (24h)]]/Table2[[#This Row],[Circulating Supply]]</f>
        <v>3.2539325842696628E-3</v>
      </c>
      <c r="I38">
        <f>RANK(Table2[[#This Row],[Market Cap]],Table2[Market Cap],0)</f>
        <v>21</v>
      </c>
      <c r="J38" t="str">
        <f t="shared" si="0"/>
        <v>0-0.5</v>
      </c>
    </row>
    <row r="39" spans="1:10" x14ac:dyDescent="0.3">
      <c r="A39" t="s">
        <v>75</v>
      </c>
      <c r="B39" t="s">
        <v>76</v>
      </c>
      <c r="C39">
        <v>3.55</v>
      </c>
      <c r="D39">
        <v>0.1</v>
      </c>
      <c r="E39">
        <v>797050000</v>
      </c>
      <c r="F39">
        <v>2130000</v>
      </c>
      <c r="G39">
        <v>224060000</v>
      </c>
      <c r="H39">
        <f>Table2[[#This Row],[Volume (24h)]]/Table2[[#This Row],[Circulating Supply]]</f>
        <v>9.5063822190484693E-3</v>
      </c>
      <c r="I39">
        <f>RANK(Table2[[#This Row],[Market Cap]],Table2[Market Cap],0)</f>
        <v>22</v>
      </c>
      <c r="J39" t="str">
        <f t="shared" si="0"/>
        <v>2-10</v>
      </c>
    </row>
    <row r="40" spans="1:10" x14ac:dyDescent="0.3">
      <c r="A40" t="s">
        <v>77</v>
      </c>
      <c r="B40" t="s">
        <v>78</v>
      </c>
      <c r="C40">
        <v>8.2500000000000004E-2</v>
      </c>
      <c r="D40">
        <v>0.08</v>
      </c>
      <c r="E40">
        <v>649330000</v>
      </c>
      <c r="F40">
        <v>11920000</v>
      </c>
      <c r="G40">
        <v>7860000000</v>
      </c>
      <c r="H40">
        <f>Table2[[#This Row],[Volume (24h)]]/Table2[[#This Row],[Circulating Supply]]</f>
        <v>1.5165394402035623E-3</v>
      </c>
      <c r="I40">
        <f>RANK(Table2[[#This Row],[Market Cap]],Table2[Market Cap],0)</f>
        <v>23</v>
      </c>
      <c r="J40" t="str">
        <f t="shared" si="0"/>
        <v>0-0.5</v>
      </c>
    </row>
    <row r="41" spans="1:10" x14ac:dyDescent="0.3">
      <c r="A41" t="s">
        <v>79</v>
      </c>
      <c r="B41" t="s">
        <v>79</v>
      </c>
      <c r="C41">
        <v>0.99829999999999997</v>
      </c>
      <c r="D41">
        <v>0.01</v>
      </c>
      <c r="E41">
        <v>647910000</v>
      </c>
      <c r="F41">
        <v>1350000</v>
      </c>
      <c r="G41">
        <v>649000000</v>
      </c>
      <c r="H41">
        <f>Table2[[#This Row],[Volume (24h)]]/Table2[[#This Row],[Circulating Supply]]</f>
        <v>2.0801232665639447E-3</v>
      </c>
      <c r="I41">
        <f>RANK(Table2[[#This Row],[Market Cap]],Table2[Market Cap],0)</f>
        <v>24</v>
      </c>
      <c r="J41" t="str">
        <f t="shared" si="0"/>
        <v>0.5-1</v>
      </c>
    </row>
    <row r="42" spans="1:10" x14ac:dyDescent="0.3">
      <c r="A42" t="s">
        <v>80</v>
      </c>
      <c r="B42" t="s">
        <v>81</v>
      </c>
      <c r="C42">
        <v>0.99929999999999997</v>
      </c>
      <c r="D42">
        <v>0</v>
      </c>
      <c r="E42">
        <v>556020000</v>
      </c>
      <c r="F42">
        <v>36490</v>
      </c>
      <c r="G42">
        <v>556380000</v>
      </c>
      <c r="H42">
        <f>Table2[[#This Row],[Volume (24h)]]/Table2[[#This Row],[Circulating Supply]]</f>
        <v>6.5584672346238188E-5</v>
      </c>
      <c r="I42">
        <f>RANK(Table2[[#This Row],[Market Cap]],Table2[Market Cap],0)</f>
        <v>25</v>
      </c>
      <c r="J42" t="str">
        <f t="shared" si="0"/>
        <v>0.5-1</v>
      </c>
    </row>
    <row r="43" spans="1:10" x14ac:dyDescent="0.3">
      <c r="A43" t="s">
        <v>82</v>
      </c>
      <c r="B43" t="s">
        <v>83</v>
      </c>
      <c r="C43">
        <v>1</v>
      </c>
      <c r="D43">
        <v>0.02</v>
      </c>
      <c r="E43">
        <v>518340000.00000012</v>
      </c>
      <c r="F43">
        <v>23780000</v>
      </c>
      <c r="G43">
        <v>517030000</v>
      </c>
      <c r="H43">
        <f>Table2[[#This Row],[Volume (24h)]]/Table2[[#This Row],[Circulating Supply]]</f>
        <v>4.5993462661741098E-2</v>
      </c>
      <c r="I43">
        <f>RANK(Table2[[#This Row],[Market Cap]],Table2[Market Cap],0)</f>
        <v>26</v>
      </c>
      <c r="J43" t="str">
        <f t="shared" si="0"/>
        <v>0.5-1</v>
      </c>
    </row>
    <row r="44" spans="1:10" x14ac:dyDescent="0.3">
      <c r="A44" t="s">
        <v>84</v>
      </c>
      <c r="B44" t="s">
        <v>85</v>
      </c>
      <c r="C44">
        <v>0.99950000000000006</v>
      </c>
      <c r="D44">
        <v>0.01</v>
      </c>
      <c r="E44">
        <v>501100000</v>
      </c>
      <c r="F44">
        <v>5610</v>
      </c>
      <c r="G44">
        <v>501350000</v>
      </c>
      <c r="H44">
        <f>Table2[[#This Row],[Volume (24h)]]/Table2[[#This Row],[Circulating Supply]]</f>
        <v>1.1189787573551411E-5</v>
      </c>
      <c r="I44">
        <f>RANK(Table2[[#This Row],[Market Cap]],Table2[Market Cap],0)</f>
        <v>27</v>
      </c>
      <c r="J44" t="str">
        <f t="shared" si="0"/>
        <v>0.5-1</v>
      </c>
    </row>
    <row r="45" spans="1:10" x14ac:dyDescent="0.3">
      <c r="A45" t="s">
        <v>86</v>
      </c>
      <c r="B45" t="s">
        <v>87</v>
      </c>
      <c r="C45">
        <v>0.15809999999999999</v>
      </c>
      <c r="D45">
        <v>0.16</v>
      </c>
      <c r="E45">
        <v>395370000</v>
      </c>
      <c r="F45">
        <v>14190000</v>
      </c>
      <c r="G45">
        <v>2500000000</v>
      </c>
      <c r="H45">
        <f>Table2[[#This Row],[Volume (24h)]]/Table2[[#This Row],[Circulating Supply]]</f>
        <v>5.6759999999999996E-3</v>
      </c>
      <c r="I45">
        <f>RANK(Table2[[#This Row],[Market Cap]],Table2[Market Cap],0)</f>
        <v>28</v>
      </c>
      <c r="J45" t="str">
        <f t="shared" si="0"/>
        <v>0-0.5</v>
      </c>
    </row>
    <row r="46" spans="1:10" x14ac:dyDescent="0.3">
      <c r="A46" t="s">
        <v>88</v>
      </c>
      <c r="B46" t="s">
        <v>89</v>
      </c>
      <c r="C46">
        <v>6.2890000000000005E-4</v>
      </c>
      <c r="D46">
        <v>0.02</v>
      </c>
      <c r="E46">
        <v>260640000</v>
      </c>
      <c r="F46">
        <v>917.45</v>
      </c>
      <c r="G46">
        <v>414400000000</v>
      </c>
      <c r="H46">
        <f>Table2[[#This Row],[Volume (24h)]]/Table2[[#This Row],[Circulating Supply]]</f>
        <v>2.2139237451737453E-9</v>
      </c>
      <c r="I46">
        <f>RANK(Table2[[#This Row],[Market Cap]],Table2[Market Cap],0)</f>
        <v>31</v>
      </c>
      <c r="J46" t="str">
        <f t="shared" si="0"/>
        <v>0-0.5</v>
      </c>
    </row>
    <row r="47" spans="1:10" x14ac:dyDescent="0.3">
      <c r="A47" t="s">
        <v>90</v>
      </c>
      <c r="B47" t="s">
        <v>91</v>
      </c>
      <c r="C47">
        <v>3.5760000000000002E-3</v>
      </c>
      <c r="D47">
        <v>0.11</v>
      </c>
      <c r="E47">
        <v>58580000</v>
      </c>
      <c r="F47">
        <v>2210000</v>
      </c>
      <c r="G47">
        <v>16380000000</v>
      </c>
      <c r="H47">
        <f>Table2[[#This Row],[Volume (24h)]]/Table2[[#This Row],[Circulating Supply]]</f>
        <v>1.3492063492063491E-4</v>
      </c>
      <c r="I47">
        <f>RANK(Table2[[#This Row],[Market Cap]],Table2[Market Cap],0)</f>
        <v>45</v>
      </c>
      <c r="J47" t="str">
        <f t="shared" si="0"/>
        <v>0-0.5</v>
      </c>
    </row>
    <row r="48" spans="1:10" x14ac:dyDescent="0.3">
      <c r="A48" t="s">
        <v>92</v>
      </c>
      <c r="B48" t="s">
        <v>93</v>
      </c>
      <c r="C48">
        <v>0.42949999999999999</v>
      </c>
      <c r="D48">
        <v>0.59</v>
      </c>
      <c r="E48">
        <v>58250000</v>
      </c>
      <c r="F48">
        <v>5170000</v>
      </c>
      <c r="G48">
        <v>135600000</v>
      </c>
      <c r="H48">
        <f>Table2[[#This Row],[Volume (24h)]]/Table2[[#This Row],[Circulating Supply]]</f>
        <v>3.8126843657817107E-2</v>
      </c>
      <c r="I48">
        <f>RANK(Table2[[#This Row],[Market Cap]],Table2[Market Cap],0)</f>
        <v>46</v>
      </c>
      <c r="J48" t="str">
        <f t="shared" si="0"/>
        <v>0-0.5</v>
      </c>
    </row>
    <row r="49" spans="1:10" x14ac:dyDescent="0.3">
      <c r="A49" t="s">
        <v>94</v>
      </c>
      <c r="B49" t="s">
        <v>95</v>
      </c>
      <c r="C49">
        <v>5.7820000000000003E-2</v>
      </c>
      <c r="D49">
        <v>0.31</v>
      </c>
      <c r="E49">
        <v>57820000</v>
      </c>
      <c r="F49">
        <v>3140000</v>
      </c>
      <c r="G49">
        <v>999990000</v>
      </c>
      <c r="H49">
        <f>Table2[[#This Row],[Volume (24h)]]/Table2[[#This Row],[Circulating Supply]]</f>
        <v>3.140031400314003E-3</v>
      </c>
      <c r="I49">
        <f>RANK(Table2[[#This Row],[Market Cap]],Table2[Market Cap],0)</f>
        <v>47</v>
      </c>
      <c r="J49" t="str">
        <f t="shared" si="0"/>
        <v>0-0.5</v>
      </c>
    </row>
    <row r="50" spans="1:10" x14ac:dyDescent="0.3">
      <c r="A50" t="s">
        <v>96</v>
      </c>
      <c r="B50" t="s">
        <v>97</v>
      </c>
      <c r="C50">
        <v>2.3769999999999999E-2</v>
      </c>
      <c r="D50">
        <v>0.43</v>
      </c>
      <c r="E50">
        <v>57720000</v>
      </c>
      <c r="F50">
        <v>7340000</v>
      </c>
      <c r="G50">
        <v>2420000000</v>
      </c>
      <c r="H50">
        <f>Table2[[#This Row],[Volume (24h)]]/Table2[[#This Row],[Circulating Supply]]</f>
        <v>3.0330578512396695E-3</v>
      </c>
      <c r="I50">
        <f>RANK(Table2[[#This Row],[Market Cap]],Table2[Market Cap],0)</f>
        <v>48</v>
      </c>
      <c r="J50" t="str">
        <f t="shared" si="0"/>
        <v>0-0.5</v>
      </c>
    </row>
    <row r="51" spans="1:10" x14ac:dyDescent="0.3">
      <c r="A51" t="s">
        <v>98</v>
      </c>
      <c r="B51" t="s">
        <v>99</v>
      </c>
      <c r="C51">
        <v>4.002E-2</v>
      </c>
      <c r="D51">
        <v>0.09</v>
      </c>
      <c r="E51">
        <v>56390000</v>
      </c>
      <c r="F51">
        <v>5970000</v>
      </c>
      <c r="G51">
        <v>1400000000</v>
      </c>
      <c r="H51">
        <f>Table2[[#This Row],[Volume (24h)]]/Table2[[#This Row],[Circulating Supply]]</f>
        <v>4.2642857142857144E-3</v>
      </c>
      <c r="I51">
        <f>RANK(Table2[[#This Row],[Market Cap]],Table2[Market Cap],0)</f>
        <v>49</v>
      </c>
      <c r="J51" t="str">
        <f t="shared" si="0"/>
        <v>0-0.5</v>
      </c>
    </row>
    <row r="52" spans="1:10" x14ac:dyDescent="0.3">
      <c r="A52" t="s">
        <v>100</v>
      </c>
      <c r="B52" t="s">
        <v>101</v>
      </c>
      <c r="C52">
        <v>9.3123999999999998E-2</v>
      </c>
      <c r="D52">
        <v>1.03</v>
      </c>
      <c r="E52">
        <v>55980000</v>
      </c>
      <c r="F52">
        <v>4240000</v>
      </c>
      <c r="H52" t="e">
        <f>Table2[[#This Row],[Volume (24h)]]/Table2[[#This Row],[Circulating Supply]]</f>
        <v>#DIV/0!</v>
      </c>
      <c r="I52">
        <f>RANK(Table2[[#This Row],[Market Cap]],Table2[Market Cap],0)</f>
        <v>50</v>
      </c>
      <c r="J52" t="str">
        <f t="shared" si="0"/>
        <v>0-0.5</v>
      </c>
    </row>
    <row r="53" spans="1:10" x14ac:dyDescent="0.3">
      <c r="A53" t="s">
        <v>102</v>
      </c>
      <c r="B53" t="s">
        <v>103</v>
      </c>
      <c r="C53">
        <v>0.29160000000000003</v>
      </c>
      <c r="D53">
        <v>0.27</v>
      </c>
      <c r="E53">
        <v>55420000</v>
      </c>
      <c r="F53">
        <v>1150000</v>
      </c>
      <c r="G53">
        <v>190000000</v>
      </c>
      <c r="H53">
        <f>Table2[[#This Row],[Volume (24h)]]/Table2[[#This Row],[Circulating Supply]]</f>
        <v>6.0526315789473685E-3</v>
      </c>
      <c r="I53">
        <f>RANK(Table2[[#This Row],[Market Cap]],Table2[Market Cap],0)</f>
        <v>51</v>
      </c>
      <c r="J53" t="str">
        <f t="shared" si="0"/>
        <v>0-0.5</v>
      </c>
    </row>
    <row r="54" spans="1:10" x14ac:dyDescent="0.3">
      <c r="A54" t="s">
        <v>104</v>
      </c>
      <c r="B54" t="s">
        <v>105</v>
      </c>
      <c r="C54">
        <v>2.95</v>
      </c>
      <c r="D54">
        <v>0.36</v>
      </c>
      <c r="E54">
        <v>54950000</v>
      </c>
      <c r="F54">
        <v>2350000</v>
      </c>
      <c r="G54">
        <v>18590000</v>
      </c>
      <c r="H54">
        <f>Table2[[#This Row],[Volume (24h)]]/Table2[[#This Row],[Circulating Supply]]</f>
        <v>0.12641204948897256</v>
      </c>
      <c r="I54">
        <f>RANK(Table2[[#This Row],[Market Cap]],Table2[Market Cap],0)</f>
        <v>52</v>
      </c>
      <c r="J54" t="str">
        <f t="shared" si="0"/>
        <v>2-10</v>
      </c>
    </row>
    <row r="55" spans="1:10" x14ac:dyDescent="0.3">
      <c r="A55" t="s">
        <v>106</v>
      </c>
      <c r="B55" t="s">
        <v>107</v>
      </c>
      <c r="C55">
        <v>0.27189999999999998</v>
      </c>
      <c r="D55">
        <v>0.76</v>
      </c>
      <c r="E55">
        <v>54510000</v>
      </c>
      <c r="F55">
        <v>24540000</v>
      </c>
      <c r="G55">
        <v>200500000</v>
      </c>
      <c r="H55">
        <f>Table2[[#This Row],[Volume (24h)]]/Table2[[#This Row],[Circulating Supply]]</f>
        <v>0.12239401496259351</v>
      </c>
      <c r="I55">
        <f>RANK(Table2[[#This Row],[Market Cap]],Table2[Market Cap],0)</f>
        <v>54</v>
      </c>
      <c r="J55" t="str">
        <f t="shared" si="0"/>
        <v>0-0.5</v>
      </c>
    </row>
    <row r="56" spans="1:10" x14ac:dyDescent="0.3">
      <c r="A56" t="s">
        <v>108</v>
      </c>
      <c r="B56" t="s">
        <v>109</v>
      </c>
      <c r="C56">
        <v>7.9080000000000003E-4</v>
      </c>
      <c r="D56">
        <v>0.14000000000000001</v>
      </c>
      <c r="E56">
        <v>54570000</v>
      </c>
      <c r="F56">
        <v>7470000</v>
      </c>
      <c r="G56">
        <v>68990000000</v>
      </c>
      <c r="H56">
        <f>Table2[[#This Row],[Volume (24h)]]/Table2[[#This Row],[Circulating Supply]]</f>
        <v>1.0827656182055371E-4</v>
      </c>
      <c r="I56">
        <f>RANK(Table2[[#This Row],[Market Cap]],Table2[Market Cap],0)</f>
        <v>53</v>
      </c>
      <c r="J56" t="str">
        <f t="shared" si="0"/>
        <v>0-0.5</v>
      </c>
    </row>
    <row r="57" spans="1:10" x14ac:dyDescent="0.3">
      <c r="A57" t="s">
        <v>110</v>
      </c>
      <c r="B57" t="s">
        <v>111</v>
      </c>
      <c r="C57">
        <v>0.19450000000000001</v>
      </c>
      <c r="D57">
        <v>0.39</v>
      </c>
      <c r="E57">
        <v>54060000</v>
      </c>
      <c r="F57">
        <v>2500000</v>
      </c>
      <c r="G57">
        <v>277810000</v>
      </c>
      <c r="H57">
        <f>Table2[[#This Row],[Volume (24h)]]/Table2[[#This Row],[Circulating Supply]]</f>
        <v>8.998956121089953E-3</v>
      </c>
      <c r="I57">
        <f>RANK(Table2[[#This Row],[Market Cap]],Table2[Market Cap],0)</f>
        <v>55</v>
      </c>
      <c r="J57" t="str">
        <f t="shared" si="0"/>
        <v>0-0.5</v>
      </c>
    </row>
    <row r="58" spans="1:10" x14ac:dyDescent="0.3">
      <c r="A58" t="s">
        <v>112</v>
      </c>
      <c r="B58" t="s">
        <v>113</v>
      </c>
      <c r="C58">
        <v>0.1736</v>
      </c>
      <c r="D58">
        <v>0.01</v>
      </c>
      <c r="E58">
        <v>53740000</v>
      </c>
      <c r="F58">
        <v>7520000</v>
      </c>
      <c r="G58">
        <v>309580000</v>
      </c>
      <c r="H58">
        <f>Table2[[#This Row],[Volume (24h)]]/Table2[[#This Row],[Circulating Supply]]</f>
        <v>2.4290974869177594E-2</v>
      </c>
      <c r="I58">
        <f>RANK(Table2[[#This Row],[Market Cap]],Table2[Market Cap],0)</f>
        <v>57</v>
      </c>
      <c r="J58" t="str">
        <f t="shared" si="0"/>
        <v>0-0.5</v>
      </c>
    </row>
    <row r="59" spans="1:10" x14ac:dyDescent="0.3">
      <c r="A59" t="s">
        <v>114</v>
      </c>
      <c r="B59" t="s">
        <v>115</v>
      </c>
      <c r="C59">
        <v>0.40310000000000001</v>
      </c>
      <c r="D59">
        <v>0.13</v>
      </c>
      <c r="E59">
        <v>53710000</v>
      </c>
      <c r="F59">
        <v>230710</v>
      </c>
      <c r="G59">
        <v>133240000</v>
      </c>
      <c r="H59">
        <f>Table2[[#This Row],[Volume (24h)]]/Table2[[#This Row],[Circulating Supply]]</f>
        <v>1.7315370759531672E-3</v>
      </c>
      <c r="I59">
        <f>RANK(Table2[[#This Row],[Market Cap]],Table2[Market Cap],0)</f>
        <v>58</v>
      </c>
      <c r="J59" t="str">
        <f t="shared" si="0"/>
        <v>0-0.5</v>
      </c>
    </row>
    <row r="60" spans="1:10" x14ac:dyDescent="0.3">
      <c r="A60" t="s">
        <v>116</v>
      </c>
      <c r="B60" t="s">
        <v>117</v>
      </c>
      <c r="C60">
        <v>7.2519999999999998E-3</v>
      </c>
      <c r="D60">
        <v>0.09</v>
      </c>
      <c r="E60">
        <v>53790000</v>
      </c>
      <c r="F60">
        <v>582150</v>
      </c>
      <c r="G60">
        <v>7410000000</v>
      </c>
      <c r="H60">
        <f>Table2[[#This Row],[Volume (24h)]]/Table2[[#This Row],[Circulating Supply]]</f>
        <v>7.8562753036437241E-5</v>
      </c>
      <c r="I60">
        <f>RANK(Table2[[#This Row],[Market Cap]],Table2[Market Cap],0)</f>
        <v>56</v>
      </c>
      <c r="J60" t="str">
        <f t="shared" si="0"/>
        <v>0-0.5</v>
      </c>
    </row>
    <row r="61" spans="1:10" x14ac:dyDescent="0.3">
      <c r="A61" t="s">
        <v>118</v>
      </c>
      <c r="B61" t="s">
        <v>119</v>
      </c>
      <c r="C61">
        <v>4.9430000000000003E-3</v>
      </c>
      <c r="D61">
        <v>0.12</v>
      </c>
      <c r="E61">
        <v>53410000</v>
      </c>
      <c r="F61">
        <v>1800000</v>
      </c>
      <c r="G61">
        <v>10800000000</v>
      </c>
      <c r="H61">
        <f>Table2[[#This Row],[Volume (24h)]]/Table2[[#This Row],[Circulating Supply]]</f>
        <v>1.6666666666666666E-4</v>
      </c>
      <c r="I61">
        <f>RANK(Table2[[#This Row],[Market Cap]],Table2[Market Cap],0)</f>
        <v>59</v>
      </c>
      <c r="J61" t="str">
        <f t="shared" si="0"/>
        <v>0-0.5</v>
      </c>
    </row>
    <row r="62" spans="1:10" x14ac:dyDescent="0.3">
      <c r="A62" t="s">
        <v>120</v>
      </c>
      <c r="B62" t="s">
        <v>121</v>
      </c>
      <c r="C62">
        <v>200.13</v>
      </c>
      <c r="D62">
        <v>0.23</v>
      </c>
      <c r="E62">
        <v>38940000</v>
      </c>
      <c r="F62">
        <v>2810000</v>
      </c>
      <c r="G62">
        <v>194590</v>
      </c>
      <c r="H62">
        <f>Table2[[#This Row],[Volume (24h)]]/Table2[[#This Row],[Circulating Supply]]</f>
        <v>14.440618736831286</v>
      </c>
      <c r="I62">
        <f>RANK(Table2[[#This Row],[Market Cap]],Table2[Market Cap],0)</f>
        <v>60</v>
      </c>
      <c r="J62" t="str">
        <f t="shared" si="0"/>
        <v>100-10000</v>
      </c>
    </row>
    <row r="63" spans="1:10" x14ac:dyDescent="0.3">
      <c r="A63" t="s">
        <v>122</v>
      </c>
      <c r="B63" t="s">
        <v>123</v>
      </c>
      <c r="C63">
        <v>3.8929999999999999E-2</v>
      </c>
      <c r="D63">
        <v>0.24</v>
      </c>
      <c r="E63">
        <v>38920000</v>
      </c>
      <c r="F63">
        <v>7410000</v>
      </c>
      <c r="G63">
        <v>999840000</v>
      </c>
      <c r="H63">
        <f>Table2[[#This Row],[Volume (24h)]]/Table2[[#This Row],[Circulating Supply]]</f>
        <v>7.4111857897263562E-3</v>
      </c>
      <c r="I63">
        <f>RANK(Table2[[#This Row],[Market Cap]],Table2[Market Cap],0)</f>
        <v>61</v>
      </c>
      <c r="J63" t="str">
        <f t="shared" si="0"/>
        <v>0-0.5</v>
      </c>
    </row>
    <row r="64" spans="1:10" x14ac:dyDescent="0.3">
      <c r="A64" t="s">
        <v>124</v>
      </c>
      <c r="B64" t="s">
        <v>125</v>
      </c>
      <c r="C64">
        <v>5.0360000000000002E-2</v>
      </c>
      <c r="D64">
        <v>1.96</v>
      </c>
      <c r="E64">
        <v>38900000</v>
      </c>
      <c r="F64">
        <v>3020000</v>
      </c>
      <c r="G64">
        <v>772400000</v>
      </c>
      <c r="H64">
        <f>Table2[[#This Row],[Volume (24h)]]/Table2[[#This Row],[Circulating Supply]]</f>
        <v>3.9098912480580008E-3</v>
      </c>
      <c r="I64">
        <f>RANK(Table2[[#This Row],[Market Cap]],Table2[Market Cap],0)</f>
        <v>62</v>
      </c>
      <c r="J64" t="str">
        <f t="shared" si="0"/>
        <v>0-0.5</v>
      </c>
    </row>
    <row r="65" spans="1:10" x14ac:dyDescent="0.3">
      <c r="A65" t="s">
        <v>126</v>
      </c>
      <c r="B65" t="s">
        <v>127</v>
      </c>
      <c r="C65">
        <v>0.47439999999999999</v>
      </c>
      <c r="D65">
        <v>0.66</v>
      </c>
      <c r="E65">
        <v>38890000</v>
      </c>
      <c r="F65">
        <v>138940</v>
      </c>
      <c r="G65">
        <v>81970000</v>
      </c>
      <c r="H65">
        <f>Table2[[#This Row],[Volume (24h)]]/Table2[[#This Row],[Circulating Supply]]</f>
        <v>1.6950103696474321E-3</v>
      </c>
      <c r="I65">
        <f>RANK(Table2[[#This Row],[Market Cap]],Table2[Market Cap],0)</f>
        <v>63</v>
      </c>
      <c r="J65" t="str">
        <f t="shared" si="0"/>
        <v>0-0.5</v>
      </c>
    </row>
    <row r="66" spans="1:10" x14ac:dyDescent="0.3">
      <c r="A66" t="s">
        <v>128</v>
      </c>
      <c r="B66" t="s">
        <v>129</v>
      </c>
      <c r="C66">
        <v>3.4810000000000002E-3</v>
      </c>
      <c r="D66">
        <v>0.81</v>
      </c>
      <c r="E66">
        <v>38830000</v>
      </c>
      <c r="F66">
        <v>8600000</v>
      </c>
      <c r="G66">
        <v>11150000000</v>
      </c>
      <c r="H66">
        <f>Table2[[#This Row],[Volume (24h)]]/Table2[[#This Row],[Circulating Supply]]</f>
        <v>7.713004484304933E-4</v>
      </c>
      <c r="I66">
        <f>RANK(Table2[[#This Row],[Market Cap]],Table2[Market Cap],0)</f>
        <v>64</v>
      </c>
      <c r="J66" t="str">
        <f t="shared" ref="J66:J129" si="1">IF(C66&lt;=0.5,"0-0.5",
IF(C66&lt;=1,"0.5-1",
IF(C66&lt;=2,"1-2",
IF(C66&lt;=10,"2-10",
IF(C66&lt;=100,"10-100",
IF(C66&lt;=10000,"100-10000",
"10000+"))))))</f>
        <v>0-0.5</v>
      </c>
    </row>
    <row r="67" spans="1:10" x14ac:dyDescent="0.3">
      <c r="A67" t="s">
        <v>130</v>
      </c>
      <c r="B67" t="s">
        <v>131</v>
      </c>
      <c r="C67">
        <v>1.5089999999999999E-2</v>
      </c>
      <c r="D67">
        <v>1.01</v>
      </c>
      <c r="E67">
        <v>38730000</v>
      </c>
      <c r="F67">
        <v>5440000</v>
      </c>
      <c r="G67">
        <v>2560000000</v>
      </c>
      <c r="H67">
        <f>Table2[[#This Row],[Volume (24h)]]/Table2[[#This Row],[Circulating Supply]]</f>
        <v>2.1250000000000002E-3</v>
      </c>
      <c r="I67">
        <f>RANK(Table2[[#This Row],[Market Cap]],Table2[Market Cap],0)</f>
        <v>65</v>
      </c>
      <c r="J67" t="str">
        <f t="shared" si="1"/>
        <v>0-0.5</v>
      </c>
    </row>
    <row r="68" spans="1:10" x14ac:dyDescent="0.3">
      <c r="A68" t="s">
        <v>132</v>
      </c>
      <c r="B68" t="s">
        <v>133</v>
      </c>
      <c r="C68">
        <v>7.9890000000000003E-2</v>
      </c>
      <c r="D68">
        <v>0.1</v>
      </c>
      <c r="E68">
        <v>38620000</v>
      </c>
      <c r="F68">
        <v>7220000</v>
      </c>
      <c r="G68">
        <v>390560000000000</v>
      </c>
      <c r="H68">
        <f>Table2[[#This Row],[Volume (24h)]]/Table2[[#This Row],[Circulating Supply]]</f>
        <v>1.8486276116345758E-8</v>
      </c>
      <c r="I68">
        <f>RANK(Table2[[#This Row],[Market Cap]],Table2[Market Cap],0)</f>
        <v>66</v>
      </c>
      <c r="J68" t="str">
        <f t="shared" si="1"/>
        <v>0-0.5</v>
      </c>
    </row>
    <row r="69" spans="1:10" x14ac:dyDescent="0.3">
      <c r="A69" t="s">
        <v>134</v>
      </c>
      <c r="B69" t="s">
        <v>135</v>
      </c>
      <c r="C69">
        <v>0.99950000000000006</v>
      </c>
      <c r="D69">
        <v>0</v>
      </c>
      <c r="E69">
        <v>38620000</v>
      </c>
      <c r="F69">
        <v>692530</v>
      </c>
      <c r="G69">
        <v>38640000</v>
      </c>
      <c r="H69">
        <f>Table2[[#This Row],[Volume (24h)]]/Table2[[#This Row],[Circulating Supply]]</f>
        <v>1.7922619047619048E-2</v>
      </c>
      <c r="I69">
        <f>RANK(Table2[[#This Row],[Market Cap]],Table2[Market Cap],0)</f>
        <v>66</v>
      </c>
      <c r="J69" t="str">
        <f t="shared" si="1"/>
        <v>0.5-1</v>
      </c>
    </row>
    <row r="70" spans="1:10" x14ac:dyDescent="0.3">
      <c r="A70" t="s">
        <v>136</v>
      </c>
      <c r="B70" t="s">
        <v>137</v>
      </c>
      <c r="C70">
        <v>3.8549999999999999E-3</v>
      </c>
      <c r="D70">
        <v>0.28999999999999998</v>
      </c>
      <c r="E70">
        <v>38550000</v>
      </c>
      <c r="F70">
        <v>4290000</v>
      </c>
      <c r="G70">
        <v>9990000000</v>
      </c>
      <c r="H70">
        <f>Table2[[#This Row],[Volume (24h)]]/Table2[[#This Row],[Circulating Supply]]</f>
        <v>4.2942942942942941E-4</v>
      </c>
      <c r="I70">
        <f>RANK(Table2[[#This Row],[Market Cap]],Table2[Market Cap],0)</f>
        <v>68</v>
      </c>
      <c r="J70" t="str">
        <f t="shared" si="1"/>
        <v>0-0.5</v>
      </c>
    </row>
    <row r="71" spans="1:10" x14ac:dyDescent="0.3">
      <c r="A71" t="s">
        <v>138</v>
      </c>
      <c r="B71" t="s">
        <v>139</v>
      </c>
      <c r="C71">
        <v>6.9989999999999997E-2</v>
      </c>
      <c r="D71">
        <v>0.66</v>
      </c>
      <c r="E71">
        <v>38460000</v>
      </c>
      <c r="F71">
        <v>3450000</v>
      </c>
      <c r="G71">
        <v>549560000</v>
      </c>
      <c r="H71">
        <f>Table2[[#This Row],[Volume (24h)]]/Table2[[#This Row],[Circulating Supply]]</f>
        <v>6.2777494723051169E-3</v>
      </c>
      <c r="I71">
        <f>RANK(Table2[[#This Row],[Market Cap]],Table2[Market Cap],0)</f>
        <v>69</v>
      </c>
      <c r="J71" t="str">
        <f t="shared" si="1"/>
        <v>0-0.5</v>
      </c>
    </row>
    <row r="72" spans="1:10" x14ac:dyDescent="0.3">
      <c r="A72" t="s">
        <v>140</v>
      </c>
      <c r="B72" t="s">
        <v>141</v>
      </c>
      <c r="C72">
        <v>1.1499999999999999</v>
      </c>
      <c r="D72">
        <v>0.01</v>
      </c>
      <c r="E72">
        <v>38180000</v>
      </c>
      <c r="F72">
        <v>5360000</v>
      </c>
      <c r="G72">
        <v>33130000</v>
      </c>
      <c r="H72">
        <f>Table2[[#This Row],[Volume (24h)]]/Table2[[#This Row],[Circulating Supply]]</f>
        <v>0.16178690009055238</v>
      </c>
      <c r="I72">
        <f>RANK(Table2[[#This Row],[Market Cap]],Table2[Market Cap],0)</f>
        <v>70</v>
      </c>
      <c r="J72" t="str">
        <f t="shared" si="1"/>
        <v>1-2</v>
      </c>
    </row>
    <row r="73" spans="1:10" x14ac:dyDescent="0.3">
      <c r="A73" t="s">
        <v>142</v>
      </c>
      <c r="B73" t="s">
        <v>143</v>
      </c>
      <c r="C73">
        <v>0.26400000000000001</v>
      </c>
      <c r="D73">
        <v>1.98</v>
      </c>
      <c r="E73">
        <v>38100000</v>
      </c>
      <c r="F73">
        <v>16650000</v>
      </c>
      <c r="G73">
        <v>144270000</v>
      </c>
      <c r="H73">
        <f>Table2[[#This Row],[Volume (24h)]]/Table2[[#This Row],[Circulating Supply]]</f>
        <v>0.11540860885839052</v>
      </c>
      <c r="I73">
        <f>RANK(Table2[[#This Row],[Market Cap]],Table2[Market Cap],0)</f>
        <v>71</v>
      </c>
      <c r="J73" t="str">
        <f t="shared" si="1"/>
        <v>0-0.5</v>
      </c>
    </row>
    <row r="74" spans="1:10" x14ac:dyDescent="0.3">
      <c r="A74" t="s">
        <v>144</v>
      </c>
      <c r="B74" t="s">
        <v>145</v>
      </c>
      <c r="C74">
        <v>6.2759999999999996E-2</v>
      </c>
      <c r="D74">
        <v>0.03</v>
      </c>
      <c r="E74">
        <v>37890000</v>
      </c>
      <c r="F74">
        <v>2010000</v>
      </c>
      <c r="G74">
        <v>603760000</v>
      </c>
      <c r="H74">
        <f>Table2[[#This Row],[Volume (24h)]]/Table2[[#This Row],[Circulating Supply]]</f>
        <v>3.3291374055916256E-3</v>
      </c>
      <c r="I74">
        <f>RANK(Table2[[#This Row],[Market Cap]],Table2[Market Cap],0)</f>
        <v>72</v>
      </c>
      <c r="J74" t="str">
        <f t="shared" si="1"/>
        <v>0-0.5</v>
      </c>
    </row>
    <row r="75" spans="1:10" x14ac:dyDescent="0.3">
      <c r="A75" t="s">
        <v>146</v>
      </c>
      <c r="B75" t="s">
        <v>147</v>
      </c>
      <c r="C75">
        <v>13.52</v>
      </c>
      <c r="D75">
        <v>0.18</v>
      </c>
      <c r="E75">
        <v>37840000</v>
      </c>
      <c r="F75">
        <v>7750000</v>
      </c>
      <c r="G75">
        <v>2790000</v>
      </c>
      <c r="H75">
        <f>Table2[[#This Row],[Volume (24h)]]/Table2[[#This Row],[Circulating Supply]]</f>
        <v>2.7777777777777777</v>
      </c>
      <c r="I75">
        <f>RANK(Table2[[#This Row],[Market Cap]],Table2[Market Cap],0)</f>
        <v>73</v>
      </c>
      <c r="J75" t="str">
        <f t="shared" si="1"/>
        <v>10-100</v>
      </c>
    </row>
    <row r="76" spans="1:10" x14ac:dyDescent="0.3">
      <c r="A76" t="s">
        <v>148</v>
      </c>
      <c r="B76" t="s">
        <v>149</v>
      </c>
      <c r="C76">
        <v>3.5349999999999999E-2</v>
      </c>
      <c r="D76">
        <v>0.06</v>
      </c>
      <c r="E76">
        <v>37760000</v>
      </c>
      <c r="F76">
        <v>581340</v>
      </c>
      <c r="G76">
        <v>1060000000</v>
      </c>
      <c r="H76">
        <f>Table2[[#This Row],[Volume (24h)]]/Table2[[#This Row],[Circulating Supply]]</f>
        <v>5.4843396226415093E-4</v>
      </c>
      <c r="I76">
        <f>RANK(Table2[[#This Row],[Market Cap]],Table2[Market Cap],0)</f>
        <v>74</v>
      </c>
      <c r="J76" t="str">
        <f t="shared" si="1"/>
        <v>0-0.5</v>
      </c>
    </row>
    <row r="77" spans="1:10" x14ac:dyDescent="0.3">
      <c r="A77" t="s">
        <v>150</v>
      </c>
      <c r="B77" t="s">
        <v>151</v>
      </c>
      <c r="C77">
        <v>6.758E-5</v>
      </c>
      <c r="D77">
        <v>4.53</v>
      </c>
      <c r="E77">
        <v>28430000</v>
      </c>
      <c r="F77">
        <v>9280000</v>
      </c>
      <c r="G77">
        <v>420690000000</v>
      </c>
      <c r="H77">
        <f>Table2[[#This Row],[Volume (24h)]]/Table2[[#This Row],[Circulating Supply]]</f>
        <v>2.2058998312296465E-5</v>
      </c>
      <c r="I77">
        <f>RANK(Table2[[#This Row],[Market Cap]],Table2[Market Cap],0)</f>
        <v>79</v>
      </c>
      <c r="J77" t="str">
        <f t="shared" si="1"/>
        <v>0-0.5</v>
      </c>
    </row>
    <row r="78" spans="1:10" x14ac:dyDescent="0.3">
      <c r="A78" t="s">
        <v>152</v>
      </c>
      <c r="B78" t="s">
        <v>153</v>
      </c>
      <c r="C78">
        <v>1.268E-2</v>
      </c>
      <c r="D78">
        <v>0.28000000000000003</v>
      </c>
      <c r="E78">
        <v>28590000</v>
      </c>
      <c r="F78">
        <v>667300</v>
      </c>
      <c r="G78">
        <v>2250000000</v>
      </c>
      <c r="H78">
        <f>Table2[[#This Row],[Volume (24h)]]/Table2[[#This Row],[Circulating Supply]]</f>
        <v>2.965777777777778E-4</v>
      </c>
      <c r="I78">
        <f>RANK(Table2[[#This Row],[Market Cap]],Table2[Market Cap],0)</f>
        <v>75</v>
      </c>
      <c r="J78" t="str">
        <f t="shared" si="1"/>
        <v>0-0.5</v>
      </c>
    </row>
    <row r="79" spans="1:10" x14ac:dyDescent="0.3">
      <c r="A79" t="s">
        <v>154</v>
      </c>
      <c r="B79" t="s">
        <v>155</v>
      </c>
      <c r="C79">
        <v>2.5579999999999999E-2</v>
      </c>
      <c r="D79">
        <v>0.27</v>
      </c>
      <c r="E79">
        <v>28590000</v>
      </c>
      <c r="F79">
        <v>3740</v>
      </c>
      <c r="G79">
        <v>1110000000</v>
      </c>
      <c r="H79">
        <f>Table2[[#This Row],[Volume (24h)]]/Table2[[#This Row],[Circulating Supply]]</f>
        <v>3.3693693693693695E-6</v>
      </c>
      <c r="I79">
        <f>RANK(Table2[[#This Row],[Market Cap]],Table2[Market Cap],0)</f>
        <v>75</v>
      </c>
      <c r="J79" t="str">
        <f t="shared" si="1"/>
        <v>0-0.5</v>
      </c>
    </row>
    <row r="80" spans="1:10" x14ac:dyDescent="0.3">
      <c r="A80" t="s">
        <v>156</v>
      </c>
      <c r="B80" t="s">
        <v>156</v>
      </c>
      <c r="C80">
        <v>0.99929999999999997</v>
      </c>
      <c r="D80">
        <v>0</v>
      </c>
      <c r="E80">
        <v>28580000</v>
      </c>
      <c r="G80">
        <v>28600000</v>
      </c>
      <c r="H80">
        <f>Table2[[#This Row],[Volume (24h)]]/Table2[[#This Row],[Circulating Supply]]</f>
        <v>0</v>
      </c>
      <c r="I80">
        <f>RANK(Table2[[#This Row],[Market Cap]],Table2[Market Cap],0)</f>
        <v>77</v>
      </c>
      <c r="J80" t="str">
        <f t="shared" si="1"/>
        <v>0.5-1</v>
      </c>
    </row>
    <row r="81" spans="1:10" x14ac:dyDescent="0.3">
      <c r="A81" t="s">
        <v>157</v>
      </c>
      <c r="B81" t="s">
        <v>158</v>
      </c>
      <c r="C81">
        <v>27.67</v>
      </c>
      <c r="D81">
        <v>0.2</v>
      </c>
      <c r="E81">
        <v>28540000</v>
      </c>
      <c r="F81">
        <v>1040000</v>
      </c>
      <c r="G81">
        <v>1030000</v>
      </c>
      <c r="H81">
        <f>Table2[[#This Row],[Volume (24h)]]/Table2[[#This Row],[Circulating Supply]]</f>
        <v>1.0097087378640777</v>
      </c>
      <c r="I81">
        <f>RANK(Table2[[#This Row],[Market Cap]],Table2[Market Cap],0)</f>
        <v>78</v>
      </c>
      <c r="J81" t="str">
        <f t="shared" si="1"/>
        <v>10-100</v>
      </c>
    </row>
    <row r="82" spans="1:10" x14ac:dyDescent="0.3">
      <c r="A82" t="s">
        <v>159</v>
      </c>
      <c r="B82" t="s">
        <v>160</v>
      </c>
      <c r="C82">
        <v>7.5296000000000002E-2</v>
      </c>
      <c r="D82">
        <v>0.77</v>
      </c>
      <c r="E82">
        <v>28410000</v>
      </c>
      <c r="F82">
        <v>175590</v>
      </c>
      <c r="G82">
        <v>536419999999999.88</v>
      </c>
      <c r="H82">
        <f>Table2[[#This Row],[Volume (24h)]]/Table2[[#This Row],[Circulating Supply]]</f>
        <v>3.2733678833749684E-10</v>
      </c>
      <c r="I82">
        <f>RANK(Table2[[#This Row],[Market Cap]],Table2[Market Cap],0)</f>
        <v>80</v>
      </c>
      <c r="J82" t="str">
        <f t="shared" si="1"/>
        <v>0-0.5</v>
      </c>
    </row>
    <row r="83" spans="1:10" x14ac:dyDescent="0.3">
      <c r="A83" t="s">
        <v>161</v>
      </c>
      <c r="B83" t="s">
        <v>162</v>
      </c>
      <c r="C83">
        <v>2.853E-5</v>
      </c>
      <c r="D83">
        <v>0.09</v>
      </c>
      <c r="E83">
        <v>28350000</v>
      </c>
      <c r="F83">
        <v>6900000</v>
      </c>
      <c r="G83">
        <v>993700000000</v>
      </c>
      <c r="H83">
        <f>Table2[[#This Row],[Volume (24h)]]/Table2[[#This Row],[Circulating Supply]]</f>
        <v>6.9437455972627549E-6</v>
      </c>
      <c r="I83">
        <f>RANK(Table2[[#This Row],[Market Cap]],Table2[Market Cap],0)</f>
        <v>81</v>
      </c>
      <c r="J83" t="str">
        <f t="shared" si="1"/>
        <v>0-0.5</v>
      </c>
    </row>
    <row r="84" spans="1:10" x14ac:dyDescent="0.3">
      <c r="A84" t="s">
        <v>163</v>
      </c>
      <c r="B84" t="s">
        <v>164</v>
      </c>
      <c r="C84">
        <v>5.0370000000000005E-4</v>
      </c>
      <c r="D84">
        <v>0.18</v>
      </c>
      <c r="E84">
        <v>28220000</v>
      </c>
      <c r="F84">
        <v>2490000</v>
      </c>
      <c r="G84">
        <v>56020000000</v>
      </c>
      <c r="H84">
        <f>Table2[[#This Row],[Volume (24h)]]/Table2[[#This Row],[Circulating Supply]]</f>
        <v>4.4448411281685113E-5</v>
      </c>
      <c r="I84">
        <f>RANK(Table2[[#This Row],[Market Cap]],Table2[Market Cap],0)</f>
        <v>82</v>
      </c>
      <c r="J84" t="str">
        <f t="shared" si="1"/>
        <v>0-0.5</v>
      </c>
    </row>
    <row r="85" spans="1:10" x14ac:dyDescent="0.3">
      <c r="A85" t="s">
        <v>165</v>
      </c>
      <c r="B85" t="s">
        <v>166</v>
      </c>
      <c r="C85">
        <v>5.6770000000000001E-2</v>
      </c>
      <c r="D85">
        <v>0.47</v>
      </c>
      <c r="E85">
        <v>28210000</v>
      </c>
      <c r="F85">
        <v>3250000</v>
      </c>
      <c r="G85">
        <v>496990000</v>
      </c>
      <c r="H85">
        <f>Table2[[#This Row],[Volume (24h)]]/Table2[[#This Row],[Circulating Supply]]</f>
        <v>6.5393669892754381E-3</v>
      </c>
      <c r="I85">
        <f>RANK(Table2[[#This Row],[Market Cap]],Table2[Market Cap],0)</f>
        <v>83</v>
      </c>
      <c r="J85" t="str">
        <f t="shared" si="1"/>
        <v>0-0.5</v>
      </c>
    </row>
    <row r="86" spans="1:10" x14ac:dyDescent="0.3">
      <c r="A86" t="s">
        <v>167</v>
      </c>
      <c r="B86" t="s">
        <v>168</v>
      </c>
      <c r="C86">
        <v>0.11070000000000001</v>
      </c>
      <c r="D86">
        <v>0.69</v>
      </c>
      <c r="E86">
        <v>28010000</v>
      </c>
      <c r="F86">
        <v>3840000</v>
      </c>
      <c r="G86">
        <v>253000000</v>
      </c>
      <c r="H86">
        <f>Table2[[#This Row],[Volume (24h)]]/Table2[[#This Row],[Circulating Supply]]</f>
        <v>1.5177865612648221E-2</v>
      </c>
      <c r="I86">
        <f>RANK(Table2[[#This Row],[Market Cap]],Table2[Market Cap],0)</f>
        <v>84</v>
      </c>
      <c r="J86" t="str">
        <f t="shared" si="1"/>
        <v>0-0.5</v>
      </c>
    </row>
    <row r="87" spans="1:10" x14ac:dyDescent="0.3">
      <c r="A87" t="s">
        <v>169</v>
      </c>
      <c r="B87" t="s">
        <v>170</v>
      </c>
      <c r="C87">
        <v>5.8599999999999999E-2</v>
      </c>
      <c r="D87">
        <v>0.33</v>
      </c>
      <c r="E87">
        <v>27990000</v>
      </c>
      <c r="F87">
        <v>2220000</v>
      </c>
      <c r="G87">
        <v>477760000</v>
      </c>
      <c r="H87">
        <f>Table2[[#This Row],[Volume (24h)]]/Table2[[#This Row],[Circulating Supply]]</f>
        <v>4.6466845277963829E-3</v>
      </c>
      <c r="I87">
        <f>RANK(Table2[[#This Row],[Market Cap]],Table2[Market Cap],0)</f>
        <v>85</v>
      </c>
      <c r="J87" t="str">
        <f t="shared" si="1"/>
        <v>0-0.5</v>
      </c>
    </row>
    <row r="88" spans="1:10" x14ac:dyDescent="0.3">
      <c r="A88" t="s">
        <v>171</v>
      </c>
      <c r="B88" t="s">
        <v>172</v>
      </c>
      <c r="C88">
        <v>113.71</v>
      </c>
      <c r="D88">
        <v>0.75</v>
      </c>
      <c r="E88">
        <v>27900000</v>
      </c>
      <c r="F88">
        <v>74140000</v>
      </c>
      <c r="G88">
        <v>245360</v>
      </c>
      <c r="H88">
        <f>Table2[[#This Row],[Volume (24h)]]/Table2[[#This Row],[Circulating Supply]]</f>
        <v>302.16824258232799</v>
      </c>
      <c r="I88">
        <f>RANK(Table2[[#This Row],[Market Cap]],Table2[Market Cap],0)</f>
        <v>86</v>
      </c>
      <c r="J88" t="str">
        <f t="shared" si="1"/>
        <v>100-10000</v>
      </c>
    </row>
    <row r="89" spans="1:10" x14ac:dyDescent="0.3">
      <c r="A89" t="s">
        <v>173</v>
      </c>
      <c r="B89" t="s">
        <v>174</v>
      </c>
      <c r="C89">
        <v>0.11799999999999999</v>
      </c>
      <c r="D89">
        <v>0.51</v>
      </c>
      <c r="E89">
        <v>27890000</v>
      </c>
      <c r="F89">
        <v>663280000</v>
      </c>
      <c r="G89">
        <v>236300000</v>
      </c>
      <c r="H89">
        <f>Table2[[#This Row],[Volume (24h)]]/Table2[[#This Row],[Circulating Supply]]</f>
        <v>2.80694033008887</v>
      </c>
      <c r="I89">
        <f>RANK(Table2[[#This Row],[Market Cap]],Table2[Market Cap],0)</f>
        <v>87</v>
      </c>
      <c r="J89" t="str">
        <f t="shared" si="1"/>
        <v>0-0.5</v>
      </c>
    </row>
    <row r="90" spans="1:10" x14ac:dyDescent="0.3">
      <c r="A90" t="s">
        <v>175</v>
      </c>
      <c r="B90" t="s">
        <v>176</v>
      </c>
      <c r="C90">
        <v>0.26240000000000002</v>
      </c>
      <c r="D90">
        <v>0.37</v>
      </c>
      <c r="E90">
        <v>27830000</v>
      </c>
      <c r="F90">
        <v>2800000</v>
      </c>
      <c r="G90">
        <v>106040000</v>
      </c>
      <c r="H90">
        <f>Table2[[#This Row],[Volume (24h)]]/Table2[[#This Row],[Circulating Supply]]</f>
        <v>2.6405130139569973E-2</v>
      </c>
      <c r="I90">
        <f>RANK(Table2[[#This Row],[Market Cap]],Table2[Market Cap],0)</f>
        <v>88</v>
      </c>
      <c r="J90" t="str">
        <f t="shared" si="1"/>
        <v>0-0.5</v>
      </c>
    </row>
    <row r="91" spans="1:10" x14ac:dyDescent="0.3">
      <c r="A91" t="s">
        <v>177</v>
      </c>
      <c r="B91" t="s">
        <v>178</v>
      </c>
      <c r="C91">
        <v>1.112E-2</v>
      </c>
      <c r="D91">
        <v>0.13</v>
      </c>
      <c r="E91">
        <v>27810000</v>
      </c>
      <c r="F91">
        <v>1650000</v>
      </c>
      <c r="G91">
        <v>2500000000</v>
      </c>
      <c r="H91">
        <f>Table2[[#This Row],[Volume (24h)]]/Table2[[#This Row],[Circulating Supply]]</f>
        <v>6.6E-4</v>
      </c>
      <c r="I91">
        <f>RANK(Table2[[#This Row],[Market Cap]],Table2[Market Cap],0)</f>
        <v>89</v>
      </c>
      <c r="J91" t="str">
        <f t="shared" si="1"/>
        <v>0-0.5</v>
      </c>
    </row>
    <row r="92" spans="1:10" x14ac:dyDescent="0.3">
      <c r="A92" t="s">
        <v>179</v>
      </c>
      <c r="B92" t="s">
        <v>180</v>
      </c>
      <c r="C92">
        <v>2.83</v>
      </c>
      <c r="D92">
        <v>7.0000000000000007E-2</v>
      </c>
      <c r="E92">
        <v>20820000</v>
      </c>
      <c r="F92">
        <v>1620000</v>
      </c>
      <c r="G92">
        <v>7340000</v>
      </c>
      <c r="H92">
        <f>Table2[[#This Row],[Volume (24h)]]/Table2[[#This Row],[Circulating Supply]]</f>
        <v>0.22070844686648503</v>
      </c>
      <c r="I92">
        <f>RANK(Table2[[#This Row],[Market Cap]],Table2[Market Cap],0)</f>
        <v>90</v>
      </c>
      <c r="J92" t="str">
        <f t="shared" si="1"/>
        <v>2-10</v>
      </c>
    </row>
    <row r="93" spans="1:10" x14ac:dyDescent="0.3">
      <c r="A93" t="s">
        <v>181</v>
      </c>
      <c r="B93" t="s">
        <v>182</v>
      </c>
      <c r="C93">
        <v>8.4809999999999997E-2</v>
      </c>
      <c r="D93">
        <v>0.17</v>
      </c>
      <c r="E93">
        <v>20630000</v>
      </c>
      <c r="F93">
        <v>2950000</v>
      </c>
      <c r="G93">
        <v>243230000</v>
      </c>
      <c r="H93">
        <f>Table2[[#This Row],[Volume (24h)]]/Table2[[#This Row],[Circulating Supply]]</f>
        <v>1.2128438103852321E-2</v>
      </c>
      <c r="I93">
        <f>RANK(Table2[[#This Row],[Market Cap]],Table2[Market Cap],0)</f>
        <v>91</v>
      </c>
      <c r="J93" t="str">
        <f t="shared" si="1"/>
        <v>0-0.5</v>
      </c>
    </row>
    <row r="94" spans="1:10" x14ac:dyDescent="0.3">
      <c r="A94" t="s">
        <v>183</v>
      </c>
      <c r="B94" t="s">
        <v>183</v>
      </c>
      <c r="C94">
        <v>6.6230000000000004E-3</v>
      </c>
      <c r="D94">
        <v>0.91</v>
      </c>
      <c r="E94">
        <v>20600000</v>
      </c>
      <c r="F94">
        <v>8520000</v>
      </c>
      <c r="G94">
        <v>3110000000</v>
      </c>
      <c r="H94">
        <f>Table2[[#This Row],[Volume (24h)]]/Table2[[#This Row],[Circulating Supply]]</f>
        <v>2.7395498392282958E-3</v>
      </c>
      <c r="I94">
        <f>RANK(Table2[[#This Row],[Market Cap]],Table2[Market Cap],0)</f>
        <v>92</v>
      </c>
      <c r="J94" t="str">
        <f t="shared" si="1"/>
        <v>0-0.5</v>
      </c>
    </row>
    <row r="95" spans="1:10" x14ac:dyDescent="0.3">
      <c r="A95" t="s">
        <v>184</v>
      </c>
      <c r="B95" t="s">
        <v>185</v>
      </c>
      <c r="C95">
        <v>819.57</v>
      </c>
      <c r="D95">
        <v>7.0000000000000007E-2</v>
      </c>
      <c r="E95">
        <v>20580000</v>
      </c>
      <c r="F95">
        <v>1140000</v>
      </c>
      <c r="G95">
        <v>25110</v>
      </c>
      <c r="H95">
        <f>Table2[[#This Row],[Volume (24h)]]/Table2[[#This Row],[Circulating Supply]]</f>
        <v>45.400238948626047</v>
      </c>
      <c r="I95">
        <f>RANK(Table2[[#This Row],[Market Cap]],Table2[Market Cap],0)</f>
        <v>93</v>
      </c>
      <c r="J95" t="str">
        <f t="shared" si="1"/>
        <v>100-10000</v>
      </c>
    </row>
    <row r="96" spans="1:10" x14ac:dyDescent="0.3">
      <c r="A96" t="s">
        <v>186</v>
      </c>
      <c r="B96" t="s">
        <v>187</v>
      </c>
      <c r="C96">
        <v>1.42</v>
      </c>
      <c r="D96">
        <v>0.46</v>
      </c>
      <c r="E96">
        <v>20520000</v>
      </c>
      <c r="F96">
        <v>786200</v>
      </c>
      <c r="G96">
        <v>14410000</v>
      </c>
      <c r="H96">
        <f>Table2[[#This Row],[Volume (24h)]]/Table2[[#This Row],[Circulating Supply]]</f>
        <v>5.4559333795975017E-2</v>
      </c>
      <c r="I96">
        <f>RANK(Table2[[#This Row],[Market Cap]],Table2[Market Cap],0)</f>
        <v>94</v>
      </c>
      <c r="J96" t="str">
        <f t="shared" si="1"/>
        <v>1-2</v>
      </c>
    </row>
    <row r="97" spans="1:10" x14ac:dyDescent="0.3">
      <c r="A97" t="s">
        <v>188</v>
      </c>
      <c r="B97" t="s">
        <v>189</v>
      </c>
      <c r="C97">
        <v>2.1710000000000002E-3</v>
      </c>
      <c r="D97">
        <v>0.62</v>
      </c>
      <c r="E97">
        <v>20490000</v>
      </c>
      <c r="F97">
        <v>951540</v>
      </c>
      <c r="G97">
        <v>9440000000</v>
      </c>
      <c r="H97">
        <f>Table2[[#This Row],[Volume (24h)]]/Table2[[#This Row],[Circulating Supply]]</f>
        <v>1.0079872881355933E-4</v>
      </c>
      <c r="I97">
        <f>RANK(Table2[[#This Row],[Market Cap]],Table2[Market Cap],0)</f>
        <v>95</v>
      </c>
      <c r="J97" t="str">
        <f t="shared" si="1"/>
        <v>0-0.5</v>
      </c>
    </row>
    <row r="98" spans="1:10" x14ac:dyDescent="0.3">
      <c r="A98" t="s">
        <v>190</v>
      </c>
      <c r="B98" t="s">
        <v>191</v>
      </c>
      <c r="C98">
        <v>1</v>
      </c>
      <c r="D98">
        <v>0.01</v>
      </c>
      <c r="E98">
        <v>20440000</v>
      </c>
      <c r="F98">
        <v>4330000</v>
      </c>
      <c r="G98">
        <v>20360000</v>
      </c>
      <c r="H98">
        <f>Table2[[#This Row],[Volume (24h)]]/Table2[[#This Row],[Circulating Supply]]</f>
        <v>0.21267190569744598</v>
      </c>
      <c r="I98">
        <f>RANK(Table2[[#This Row],[Market Cap]],Table2[Market Cap],0)</f>
        <v>96</v>
      </c>
      <c r="J98" t="str">
        <f t="shared" si="1"/>
        <v>0.5-1</v>
      </c>
    </row>
    <row r="99" spans="1:10" x14ac:dyDescent="0.3">
      <c r="A99" t="s">
        <v>192</v>
      </c>
      <c r="B99" t="s">
        <v>193</v>
      </c>
      <c r="C99">
        <v>1211.4100000000001</v>
      </c>
      <c r="D99">
        <v>0.35</v>
      </c>
      <c r="E99">
        <v>20380000</v>
      </c>
      <c r="F99">
        <v>2040000</v>
      </c>
      <c r="G99">
        <v>16830</v>
      </c>
      <c r="H99">
        <f>Table2[[#This Row],[Volume (24h)]]/Table2[[#This Row],[Circulating Supply]]</f>
        <v>121.21212121212122</v>
      </c>
      <c r="I99">
        <f>RANK(Table2[[#This Row],[Market Cap]],Table2[Market Cap],0)</f>
        <v>97</v>
      </c>
      <c r="J99" t="str">
        <f t="shared" si="1"/>
        <v>100-10000</v>
      </c>
    </row>
    <row r="100" spans="1:10" x14ac:dyDescent="0.3">
      <c r="A100" t="s">
        <v>194</v>
      </c>
      <c r="B100" t="s">
        <v>195</v>
      </c>
      <c r="C100">
        <v>3.662E-2</v>
      </c>
      <c r="D100">
        <v>0.09</v>
      </c>
      <c r="E100">
        <v>20290000</v>
      </c>
      <c r="F100">
        <v>2330000</v>
      </c>
      <c r="G100">
        <v>554190000</v>
      </c>
      <c r="H100">
        <f>Table2[[#This Row],[Volume (24h)]]/Table2[[#This Row],[Circulating Supply]]</f>
        <v>4.2043342535953371E-3</v>
      </c>
      <c r="I100">
        <f>RANK(Table2[[#This Row],[Market Cap]],Table2[Market Cap],0)</f>
        <v>98</v>
      </c>
      <c r="J100" t="str">
        <f t="shared" si="1"/>
        <v>0-0.5</v>
      </c>
    </row>
    <row r="101" spans="1:10" x14ac:dyDescent="0.3">
      <c r="A101" t="s">
        <v>196</v>
      </c>
      <c r="B101" t="s">
        <v>197</v>
      </c>
      <c r="C101">
        <v>697.68</v>
      </c>
      <c r="D101">
        <v>0.08</v>
      </c>
      <c r="E101">
        <v>20290000</v>
      </c>
      <c r="F101">
        <v>152840</v>
      </c>
      <c r="G101">
        <v>29080</v>
      </c>
      <c r="H101">
        <f>Table2[[#This Row],[Volume (24h)]]/Table2[[#This Row],[Circulating Supply]]</f>
        <v>5.2558459422283352</v>
      </c>
      <c r="I101">
        <f>RANK(Table2[[#This Row],[Market Cap]],Table2[Market Cap],0)</f>
        <v>98</v>
      </c>
      <c r="J101" t="str">
        <f t="shared" si="1"/>
        <v>100-10000</v>
      </c>
    </row>
    <row r="102" spans="1:10" x14ac:dyDescent="0.3">
      <c r="A102" t="s">
        <v>198</v>
      </c>
      <c r="B102" t="s">
        <v>199</v>
      </c>
      <c r="C102">
        <v>1.7149999999999999E-3</v>
      </c>
      <c r="D102">
        <v>0.1</v>
      </c>
      <c r="E102">
        <v>20150000</v>
      </c>
      <c r="F102">
        <v>13630</v>
      </c>
      <c r="G102">
        <v>11750000000</v>
      </c>
      <c r="H102">
        <f>Table2[[#This Row],[Volume (24h)]]/Table2[[#This Row],[Circulating Supply]]</f>
        <v>1.1599999999999999E-6</v>
      </c>
      <c r="I102">
        <f>RANK(Table2[[#This Row],[Market Cap]],Table2[Market Cap],0)</f>
        <v>100</v>
      </c>
      <c r="J102" t="str">
        <f t="shared" si="1"/>
        <v>0-0.5</v>
      </c>
    </row>
    <row r="103" spans="1:10" x14ac:dyDescent="0.3">
      <c r="A103" t="s">
        <v>200</v>
      </c>
      <c r="B103" t="s">
        <v>201</v>
      </c>
      <c r="C103">
        <v>8.0439999999999998E-2</v>
      </c>
      <c r="D103">
        <v>0.38</v>
      </c>
      <c r="E103">
        <v>20110000</v>
      </c>
      <c r="F103">
        <v>4120000</v>
      </c>
      <c r="G103">
        <v>250000000</v>
      </c>
      <c r="H103">
        <f>Table2[[#This Row],[Volume (24h)]]/Table2[[#This Row],[Circulating Supply]]</f>
        <v>1.6480000000000002E-2</v>
      </c>
      <c r="I103">
        <f>RANK(Table2[[#This Row],[Market Cap]],Table2[Market Cap],0)</f>
        <v>101</v>
      </c>
      <c r="J103" t="str">
        <f t="shared" si="1"/>
        <v>0-0.5</v>
      </c>
    </row>
    <row r="104" spans="1:10" x14ac:dyDescent="0.3">
      <c r="A104" t="s">
        <v>202</v>
      </c>
      <c r="B104" t="s">
        <v>203</v>
      </c>
      <c r="C104">
        <v>0.12959999999999999</v>
      </c>
      <c r="D104">
        <v>0.18</v>
      </c>
      <c r="E104">
        <v>20090000</v>
      </c>
      <c r="F104">
        <v>432160</v>
      </c>
      <c r="G104">
        <v>155000000</v>
      </c>
      <c r="H104">
        <f>Table2[[#This Row],[Volume (24h)]]/Table2[[#This Row],[Circulating Supply]]</f>
        <v>2.7881290322580646E-3</v>
      </c>
      <c r="I104">
        <f>RANK(Table2[[#This Row],[Market Cap]],Table2[Market Cap],0)</f>
        <v>102</v>
      </c>
      <c r="J104" t="str">
        <f t="shared" si="1"/>
        <v>0-0.5</v>
      </c>
    </row>
    <row r="105" spans="1:10" x14ac:dyDescent="0.3">
      <c r="A105" t="s">
        <v>204</v>
      </c>
      <c r="B105" t="s">
        <v>205</v>
      </c>
      <c r="C105">
        <v>5.7889999999999999E-3</v>
      </c>
      <c r="D105">
        <v>0.1</v>
      </c>
      <c r="E105">
        <v>20060000</v>
      </c>
      <c r="F105">
        <v>10970</v>
      </c>
      <c r="G105">
        <v>3460000000</v>
      </c>
      <c r="H105">
        <f>Table2[[#This Row],[Volume (24h)]]/Table2[[#This Row],[Circulating Supply]]</f>
        <v>3.1705202312138726E-6</v>
      </c>
      <c r="I105">
        <f>RANK(Table2[[#This Row],[Market Cap]],Table2[Market Cap],0)</f>
        <v>103</v>
      </c>
      <c r="J105" t="str">
        <f t="shared" si="1"/>
        <v>0-0.5</v>
      </c>
    </row>
    <row r="106" spans="1:10" x14ac:dyDescent="0.3">
      <c r="A106" t="s">
        <v>206</v>
      </c>
      <c r="B106" t="s">
        <v>207</v>
      </c>
      <c r="C106">
        <v>4.1950000000000001E-2</v>
      </c>
      <c r="D106">
        <v>0.09</v>
      </c>
      <c r="E106">
        <v>20010000</v>
      </c>
      <c r="F106">
        <v>430340</v>
      </c>
      <c r="G106">
        <v>477120000</v>
      </c>
      <c r="H106">
        <f>Table2[[#This Row],[Volume (24h)]]/Table2[[#This Row],[Circulating Supply]]</f>
        <v>9.0195338698859822E-4</v>
      </c>
      <c r="I106">
        <f>RANK(Table2[[#This Row],[Market Cap]],Table2[Market Cap],0)</f>
        <v>104</v>
      </c>
      <c r="J106" t="str">
        <f t="shared" si="1"/>
        <v>0-0.5</v>
      </c>
    </row>
    <row r="107" spans="1:10" x14ac:dyDescent="0.3">
      <c r="A107" t="s">
        <v>208</v>
      </c>
      <c r="B107" t="s">
        <v>209</v>
      </c>
      <c r="C107">
        <v>8.0309999999999999E-3</v>
      </c>
      <c r="D107">
        <v>2.62</v>
      </c>
      <c r="E107">
        <v>16010000</v>
      </c>
      <c r="F107">
        <v>1280000</v>
      </c>
      <c r="G107">
        <v>1990000000</v>
      </c>
      <c r="H107">
        <f>Table2[[#This Row],[Volume (24h)]]/Table2[[#This Row],[Circulating Supply]]</f>
        <v>6.4321608040201008E-4</v>
      </c>
      <c r="I107">
        <f>RANK(Table2[[#This Row],[Market Cap]],Table2[Market Cap],0)</f>
        <v>105</v>
      </c>
      <c r="J107" t="str">
        <f t="shared" si="1"/>
        <v>0-0.5</v>
      </c>
    </row>
    <row r="108" spans="1:10" x14ac:dyDescent="0.3">
      <c r="A108" t="s">
        <v>210</v>
      </c>
      <c r="B108" t="s">
        <v>210</v>
      </c>
      <c r="C108">
        <v>2.2710000000000001E-2</v>
      </c>
      <c r="D108">
        <v>0.92</v>
      </c>
      <c r="E108">
        <v>15890000</v>
      </c>
      <c r="F108">
        <v>1670000</v>
      </c>
      <c r="G108">
        <v>700000000</v>
      </c>
      <c r="H108">
        <f>Table2[[#This Row],[Volume (24h)]]/Table2[[#This Row],[Circulating Supply]]</f>
        <v>2.3857142857142857E-3</v>
      </c>
      <c r="I108">
        <f>RANK(Table2[[#This Row],[Market Cap]],Table2[Market Cap],0)</f>
        <v>106</v>
      </c>
      <c r="J108" t="str">
        <f t="shared" si="1"/>
        <v>0-0.5</v>
      </c>
    </row>
    <row r="109" spans="1:10" x14ac:dyDescent="0.3">
      <c r="A109" t="s">
        <v>211</v>
      </c>
      <c r="B109" t="s">
        <v>212</v>
      </c>
      <c r="C109">
        <v>8.1779999999999995E-3</v>
      </c>
      <c r="D109">
        <v>0.83</v>
      </c>
      <c r="E109">
        <v>15880000</v>
      </c>
      <c r="F109">
        <v>1700000</v>
      </c>
      <c r="G109">
        <v>1940000000</v>
      </c>
      <c r="H109">
        <f>Table2[[#This Row],[Volume (24h)]]/Table2[[#This Row],[Circulating Supply]]</f>
        <v>8.7628865979381444E-4</v>
      </c>
      <c r="I109">
        <f>RANK(Table2[[#This Row],[Market Cap]],Table2[Market Cap],0)</f>
        <v>107</v>
      </c>
      <c r="J109" t="str">
        <f t="shared" si="1"/>
        <v>0-0.5</v>
      </c>
    </row>
    <row r="110" spans="1:10" x14ac:dyDescent="0.3">
      <c r="A110" t="s">
        <v>213</v>
      </c>
      <c r="B110" t="s">
        <v>214</v>
      </c>
      <c r="C110">
        <v>9.4950000000000004E-4</v>
      </c>
      <c r="D110">
        <v>0.01</v>
      </c>
      <c r="E110">
        <v>15860000</v>
      </c>
      <c r="F110">
        <v>101.67</v>
      </c>
      <c r="G110">
        <v>16700000000</v>
      </c>
      <c r="H110">
        <f>Table2[[#This Row],[Volume (24h)]]/Table2[[#This Row],[Circulating Supply]]</f>
        <v>6.0880239520958083E-9</v>
      </c>
      <c r="I110">
        <f>RANK(Table2[[#This Row],[Market Cap]],Table2[Market Cap],0)</f>
        <v>108</v>
      </c>
      <c r="J110" t="str">
        <f t="shared" si="1"/>
        <v>0-0.5</v>
      </c>
    </row>
    <row r="111" spans="1:10" x14ac:dyDescent="0.3">
      <c r="A111" t="s">
        <v>215</v>
      </c>
      <c r="B111" t="s">
        <v>216</v>
      </c>
      <c r="C111">
        <v>4.371E-4</v>
      </c>
      <c r="D111">
        <v>0.05</v>
      </c>
      <c r="E111">
        <v>15840000</v>
      </c>
      <c r="F111">
        <v>15290</v>
      </c>
      <c r="G111">
        <v>36250000000</v>
      </c>
      <c r="H111">
        <f>Table2[[#This Row],[Volume (24h)]]/Table2[[#This Row],[Circulating Supply]]</f>
        <v>4.2179310344827588E-7</v>
      </c>
      <c r="I111">
        <f>RANK(Table2[[#This Row],[Market Cap]],Table2[Market Cap],0)</f>
        <v>109</v>
      </c>
      <c r="J111" t="str">
        <f t="shared" si="1"/>
        <v>0-0.5</v>
      </c>
    </row>
    <row r="112" spans="1:10" x14ac:dyDescent="0.3">
      <c r="A112" t="s">
        <v>217</v>
      </c>
      <c r="B112" t="s">
        <v>218</v>
      </c>
      <c r="C112">
        <v>2.3809999999999999E-4</v>
      </c>
      <c r="D112">
        <v>0.06</v>
      </c>
      <c r="E112">
        <v>15820000</v>
      </c>
      <c r="F112">
        <v>3020000</v>
      </c>
      <c r="G112">
        <v>66430000000.000008</v>
      </c>
      <c r="H112">
        <f>Table2[[#This Row],[Volume (24h)]]/Table2[[#This Row],[Circulating Supply]]</f>
        <v>4.5461387927141348E-5</v>
      </c>
      <c r="I112">
        <f>RANK(Table2[[#This Row],[Market Cap]],Table2[Market Cap],0)</f>
        <v>110</v>
      </c>
      <c r="J112" t="str">
        <f t="shared" si="1"/>
        <v>0-0.5</v>
      </c>
    </row>
    <row r="113" spans="1:10" x14ac:dyDescent="0.3">
      <c r="A113" t="s">
        <v>219</v>
      </c>
      <c r="B113" t="s">
        <v>220</v>
      </c>
      <c r="C113">
        <v>1.7270000000000001E-2</v>
      </c>
      <c r="D113">
        <v>0.53</v>
      </c>
      <c r="E113">
        <v>15800000</v>
      </c>
      <c r="F113">
        <v>916720</v>
      </c>
      <c r="G113">
        <v>915200000</v>
      </c>
      <c r="H113">
        <f>Table2[[#This Row],[Volume (24h)]]/Table2[[#This Row],[Circulating Supply]]</f>
        <v>1.0016608391608393E-3</v>
      </c>
      <c r="I113">
        <f>RANK(Table2[[#This Row],[Market Cap]],Table2[Market Cap],0)</f>
        <v>111</v>
      </c>
      <c r="J113" t="str">
        <f t="shared" si="1"/>
        <v>0-0.5</v>
      </c>
    </row>
    <row r="114" spans="1:10" x14ac:dyDescent="0.3">
      <c r="A114" t="s">
        <v>221</v>
      </c>
      <c r="B114" t="s">
        <v>222</v>
      </c>
      <c r="C114">
        <v>3.6360000000000003E-2</v>
      </c>
      <c r="D114">
        <v>0.05</v>
      </c>
      <c r="E114">
        <v>15790000</v>
      </c>
      <c r="F114">
        <v>6260000</v>
      </c>
      <c r="G114">
        <v>434300000</v>
      </c>
      <c r="H114">
        <f>Table2[[#This Row],[Volume (24h)]]/Table2[[#This Row],[Circulating Supply]]</f>
        <v>1.4413999539488832E-2</v>
      </c>
      <c r="I114">
        <f>RANK(Table2[[#This Row],[Market Cap]],Table2[Market Cap],0)</f>
        <v>112</v>
      </c>
      <c r="J114" t="str">
        <f t="shared" si="1"/>
        <v>0-0.5</v>
      </c>
    </row>
    <row r="115" spans="1:10" x14ac:dyDescent="0.3">
      <c r="A115" t="s">
        <v>223</v>
      </c>
      <c r="B115" t="s">
        <v>224</v>
      </c>
      <c r="C115">
        <v>187.9</v>
      </c>
      <c r="D115">
        <v>1.04</v>
      </c>
      <c r="E115">
        <v>15660000</v>
      </c>
      <c r="F115">
        <v>1740000</v>
      </c>
      <c r="G115">
        <v>83360</v>
      </c>
      <c r="H115">
        <f>Table2[[#This Row],[Volume (24h)]]/Table2[[#This Row],[Circulating Supply]]</f>
        <v>20.873320537428022</v>
      </c>
      <c r="I115">
        <f>RANK(Table2[[#This Row],[Market Cap]],Table2[Market Cap],0)</f>
        <v>113</v>
      </c>
      <c r="J115" t="str">
        <f t="shared" si="1"/>
        <v>100-10000</v>
      </c>
    </row>
    <row r="116" spans="1:10" x14ac:dyDescent="0.3">
      <c r="A116" t="s">
        <v>225</v>
      </c>
      <c r="B116" t="s">
        <v>225</v>
      </c>
      <c r="C116">
        <v>7.9100000000000004E-3</v>
      </c>
      <c r="D116">
        <v>4.3499999999999996</v>
      </c>
      <c r="E116">
        <v>15580000</v>
      </c>
      <c r="F116">
        <v>1000000</v>
      </c>
      <c r="G116">
        <v>1970000000</v>
      </c>
      <c r="H116">
        <f>Table2[[#This Row],[Volume (24h)]]/Table2[[#This Row],[Circulating Supply]]</f>
        <v>5.0761421319796957E-4</v>
      </c>
      <c r="I116">
        <f>RANK(Table2[[#This Row],[Market Cap]],Table2[Market Cap],0)</f>
        <v>114</v>
      </c>
      <c r="J116" t="str">
        <f t="shared" si="1"/>
        <v>0-0.5</v>
      </c>
    </row>
    <row r="117" spans="1:10" x14ac:dyDescent="0.3">
      <c r="A117" t="s">
        <v>226</v>
      </c>
      <c r="B117" t="s">
        <v>227</v>
      </c>
      <c r="C117">
        <v>6.7729999999999999E-2</v>
      </c>
      <c r="D117">
        <v>0.88</v>
      </c>
      <c r="E117">
        <v>15570000</v>
      </c>
      <c r="F117">
        <v>3100000</v>
      </c>
      <c r="G117">
        <v>230000000</v>
      </c>
      <c r="H117">
        <f>Table2[[#This Row],[Volume (24h)]]/Table2[[#This Row],[Circulating Supply]]</f>
        <v>1.3478260869565217E-2</v>
      </c>
      <c r="I117">
        <f>RANK(Table2[[#This Row],[Market Cap]],Table2[Market Cap],0)</f>
        <v>115</v>
      </c>
      <c r="J117" t="str">
        <f t="shared" si="1"/>
        <v>0-0.5</v>
      </c>
    </row>
    <row r="118" spans="1:10" x14ac:dyDescent="0.3">
      <c r="A118" t="s">
        <v>228</v>
      </c>
      <c r="B118" t="s">
        <v>229</v>
      </c>
      <c r="C118">
        <v>3.2139999999999998E-3</v>
      </c>
      <c r="D118">
        <v>0.54</v>
      </c>
      <c r="E118">
        <v>15550000</v>
      </c>
      <c r="F118">
        <v>1770000</v>
      </c>
      <c r="G118">
        <v>4830000000</v>
      </c>
      <c r="H118">
        <f>Table2[[#This Row],[Volume (24h)]]/Table2[[#This Row],[Circulating Supply]]</f>
        <v>3.6645962732919252E-4</v>
      </c>
      <c r="I118">
        <f>RANK(Table2[[#This Row],[Market Cap]],Table2[Market Cap],0)</f>
        <v>116</v>
      </c>
      <c r="J118" t="str">
        <f t="shared" si="1"/>
        <v>0-0.5</v>
      </c>
    </row>
    <row r="119" spans="1:10" x14ac:dyDescent="0.3">
      <c r="A119" t="s">
        <v>230</v>
      </c>
      <c r="B119" t="s">
        <v>231</v>
      </c>
      <c r="C119">
        <v>0.40110000000000001</v>
      </c>
      <c r="D119">
        <v>0.2</v>
      </c>
      <c r="E119">
        <v>15540000</v>
      </c>
      <c r="F119">
        <v>84600</v>
      </c>
      <c r="G119">
        <v>38740000</v>
      </c>
      <c r="H119">
        <f>Table2[[#This Row],[Volume (24h)]]/Table2[[#This Row],[Circulating Supply]]</f>
        <v>2.1837893649974188E-3</v>
      </c>
      <c r="I119">
        <f>RANK(Table2[[#This Row],[Market Cap]],Table2[Market Cap],0)</f>
        <v>117</v>
      </c>
      <c r="J119" t="str">
        <f t="shared" si="1"/>
        <v>0-0.5</v>
      </c>
    </row>
    <row r="120" spans="1:10" x14ac:dyDescent="0.3">
      <c r="A120" t="s">
        <v>232</v>
      </c>
      <c r="B120" t="s">
        <v>233</v>
      </c>
      <c r="C120">
        <v>0.11890000000000001</v>
      </c>
      <c r="D120">
        <v>0.92</v>
      </c>
      <c r="E120">
        <v>15350000</v>
      </c>
      <c r="F120">
        <v>1810000</v>
      </c>
      <c r="G120">
        <v>129100000</v>
      </c>
      <c r="H120">
        <f>Table2[[#This Row],[Volume (24h)]]/Table2[[#This Row],[Circulating Supply]]</f>
        <v>1.4020139426800929E-2</v>
      </c>
      <c r="I120">
        <f>RANK(Table2[[#This Row],[Market Cap]],Table2[Market Cap],0)</f>
        <v>118</v>
      </c>
      <c r="J120" t="str">
        <f t="shared" si="1"/>
        <v>0-0.5</v>
      </c>
    </row>
    <row r="121" spans="1:10" x14ac:dyDescent="0.3">
      <c r="A121" t="s">
        <v>234</v>
      </c>
      <c r="B121" t="s">
        <v>235</v>
      </c>
      <c r="C121">
        <v>7.9699999999999997E-4</v>
      </c>
      <c r="D121">
        <v>0.24</v>
      </c>
      <c r="E121">
        <v>15300000</v>
      </c>
      <c r="F121">
        <v>301660</v>
      </c>
      <c r="G121">
        <v>19200000000</v>
      </c>
      <c r="H121">
        <f>Table2[[#This Row],[Volume (24h)]]/Table2[[#This Row],[Circulating Supply]]</f>
        <v>1.5711458333333332E-5</v>
      </c>
      <c r="I121">
        <f>RANK(Table2[[#This Row],[Market Cap]],Table2[Market Cap],0)</f>
        <v>119</v>
      </c>
      <c r="J121" t="str">
        <f t="shared" si="1"/>
        <v>0-0.5</v>
      </c>
    </row>
    <row r="122" spans="1:10" x14ac:dyDescent="0.3">
      <c r="A122" t="s">
        <v>236</v>
      </c>
      <c r="B122" t="s">
        <v>237</v>
      </c>
      <c r="C122">
        <v>1.678E-2</v>
      </c>
      <c r="D122">
        <v>0.78</v>
      </c>
      <c r="E122">
        <v>12160000</v>
      </c>
      <c r="F122">
        <v>474110</v>
      </c>
      <c r="G122">
        <v>724750000</v>
      </c>
      <c r="H122">
        <f>Table2[[#This Row],[Volume (24h)]]/Table2[[#This Row],[Circulating Supply]]</f>
        <v>6.5417040358744399E-4</v>
      </c>
      <c r="I122">
        <f>RANK(Table2[[#This Row],[Market Cap]],Table2[Market Cap],0)</f>
        <v>120</v>
      </c>
      <c r="J122" t="str">
        <f t="shared" si="1"/>
        <v>0-0.5</v>
      </c>
    </row>
    <row r="123" spans="1:10" x14ac:dyDescent="0.3">
      <c r="A123" t="s">
        <v>238</v>
      </c>
      <c r="B123" t="s">
        <v>239</v>
      </c>
      <c r="C123">
        <v>0.64429999999999998</v>
      </c>
      <c r="D123">
        <v>1.23</v>
      </c>
      <c r="E123">
        <v>12150000</v>
      </c>
      <c r="F123">
        <v>249700</v>
      </c>
      <c r="G123">
        <v>18860000</v>
      </c>
      <c r="H123">
        <f>Table2[[#This Row],[Volume (24h)]]/Table2[[#This Row],[Circulating Supply]]</f>
        <v>1.323966065747614E-2</v>
      </c>
      <c r="I123">
        <f>RANK(Table2[[#This Row],[Market Cap]],Table2[Market Cap],0)</f>
        <v>121</v>
      </c>
      <c r="J123" t="str">
        <f t="shared" si="1"/>
        <v>0.5-1</v>
      </c>
    </row>
    <row r="124" spans="1:10" x14ac:dyDescent="0.3">
      <c r="A124" t="s">
        <v>240</v>
      </c>
      <c r="B124" t="s">
        <v>241</v>
      </c>
      <c r="C124">
        <v>16.260000000000002</v>
      </c>
      <c r="D124">
        <v>0.17</v>
      </c>
      <c r="E124">
        <v>12090000</v>
      </c>
      <c r="F124">
        <v>249160</v>
      </c>
      <c r="G124">
        <v>743820</v>
      </c>
      <c r="H124">
        <f>Table2[[#This Row],[Volume (24h)]]/Table2[[#This Row],[Circulating Supply]]</f>
        <v>0.33497351509773871</v>
      </c>
      <c r="I124">
        <f>RANK(Table2[[#This Row],[Market Cap]],Table2[Market Cap],0)</f>
        <v>122</v>
      </c>
      <c r="J124" t="str">
        <f t="shared" si="1"/>
        <v>10-100</v>
      </c>
    </row>
    <row r="125" spans="1:10" x14ac:dyDescent="0.3">
      <c r="A125" t="s">
        <v>242</v>
      </c>
      <c r="B125" t="s">
        <v>243</v>
      </c>
      <c r="C125">
        <v>1.2070000000000001E-2</v>
      </c>
      <c r="D125">
        <v>0.05</v>
      </c>
      <c r="E125">
        <v>12050000</v>
      </c>
      <c r="F125">
        <v>247740</v>
      </c>
      <c r="G125">
        <v>998150000</v>
      </c>
      <c r="H125">
        <f>Table2[[#This Row],[Volume (24h)]]/Table2[[#This Row],[Circulating Supply]]</f>
        <v>2.4819916846165408E-4</v>
      </c>
      <c r="I125">
        <f>RANK(Table2[[#This Row],[Market Cap]],Table2[Market Cap],0)</f>
        <v>123</v>
      </c>
      <c r="J125" t="str">
        <f t="shared" si="1"/>
        <v>0-0.5</v>
      </c>
    </row>
    <row r="126" spans="1:10" x14ac:dyDescent="0.3">
      <c r="A126" t="s">
        <v>244</v>
      </c>
      <c r="B126" t="s">
        <v>245</v>
      </c>
      <c r="C126">
        <v>0.20369999999999999</v>
      </c>
      <c r="D126">
        <v>0.26</v>
      </c>
      <c r="E126">
        <v>12030000</v>
      </c>
      <c r="F126">
        <v>3220000</v>
      </c>
      <c r="G126">
        <v>59070000</v>
      </c>
      <c r="H126">
        <f>Table2[[#This Row],[Volume (24h)]]/Table2[[#This Row],[Circulating Supply]]</f>
        <v>5.4511596411037755E-2</v>
      </c>
      <c r="I126">
        <f>RANK(Table2[[#This Row],[Market Cap]],Table2[Market Cap],0)</f>
        <v>124</v>
      </c>
      <c r="J126" t="str">
        <f t="shared" si="1"/>
        <v>0-0.5</v>
      </c>
    </row>
    <row r="127" spans="1:10" x14ac:dyDescent="0.3">
      <c r="A127" t="s">
        <v>246</v>
      </c>
      <c r="B127" t="s">
        <v>247</v>
      </c>
      <c r="C127">
        <v>6.8960000000000002E-3</v>
      </c>
      <c r="D127">
        <v>0</v>
      </c>
      <c r="E127">
        <v>12010000</v>
      </c>
      <c r="F127">
        <v>45910</v>
      </c>
      <c r="G127">
        <v>1740000000</v>
      </c>
      <c r="H127">
        <f>Table2[[#This Row],[Volume (24h)]]/Table2[[#This Row],[Circulating Supply]]</f>
        <v>2.6385057471264366E-5</v>
      </c>
      <c r="I127">
        <f>RANK(Table2[[#This Row],[Market Cap]],Table2[Market Cap],0)</f>
        <v>125</v>
      </c>
      <c r="J127" t="str">
        <f t="shared" si="1"/>
        <v>0-0.5</v>
      </c>
    </row>
    <row r="128" spans="1:10" x14ac:dyDescent="0.3">
      <c r="A128" t="s">
        <v>248</v>
      </c>
      <c r="B128" t="s">
        <v>249</v>
      </c>
      <c r="C128">
        <v>92.99</v>
      </c>
      <c r="D128">
        <v>0.77</v>
      </c>
      <c r="E128">
        <v>11960000</v>
      </c>
      <c r="F128">
        <v>8480000</v>
      </c>
      <c r="G128">
        <v>128690</v>
      </c>
      <c r="H128">
        <f>Table2[[#This Row],[Volume (24h)]]/Table2[[#This Row],[Circulating Supply]]</f>
        <v>65.894785919651881</v>
      </c>
      <c r="I128">
        <f>RANK(Table2[[#This Row],[Market Cap]],Table2[Market Cap],0)</f>
        <v>126</v>
      </c>
      <c r="J128" t="str">
        <f t="shared" si="1"/>
        <v>10-100</v>
      </c>
    </row>
    <row r="129" spans="1:10" x14ac:dyDescent="0.3">
      <c r="A129" t="s">
        <v>250</v>
      </c>
      <c r="B129" t="s">
        <v>250</v>
      </c>
      <c r="C129">
        <v>0.99690000000000001</v>
      </c>
      <c r="D129">
        <v>0.24</v>
      </c>
      <c r="E129">
        <v>11960000</v>
      </c>
      <c r="F129">
        <v>7690</v>
      </c>
      <c r="G129">
        <v>12000000</v>
      </c>
      <c r="H129">
        <f>Table2[[#This Row],[Volume (24h)]]/Table2[[#This Row],[Circulating Supply]]</f>
        <v>6.4083333333333332E-4</v>
      </c>
      <c r="I129">
        <f>RANK(Table2[[#This Row],[Market Cap]],Table2[Market Cap],0)</f>
        <v>126</v>
      </c>
      <c r="J129" t="str">
        <f t="shared" si="1"/>
        <v>0.5-1</v>
      </c>
    </row>
    <row r="130" spans="1:10" x14ac:dyDescent="0.3">
      <c r="A130" t="s">
        <v>251</v>
      </c>
      <c r="B130" t="s">
        <v>252</v>
      </c>
      <c r="C130">
        <v>75.760000000000005</v>
      </c>
      <c r="D130">
        <v>0.13</v>
      </c>
      <c r="E130">
        <v>11940000</v>
      </c>
      <c r="F130">
        <v>1050000</v>
      </c>
      <c r="G130">
        <v>157710</v>
      </c>
      <c r="H130">
        <f>Table2[[#This Row],[Volume (24h)]]/Table2[[#This Row],[Circulating Supply]]</f>
        <v>6.6577896138482027</v>
      </c>
      <c r="I130">
        <f>RANK(Table2[[#This Row],[Market Cap]],Table2[Market Cap],0)</f>
        <v>128</v>
      </c>
      <c r="J130" t="str">
        <f t="shared" ref="J130:J193" si="2">IF(C130&lt;=0.5,"0-0.5",
IF(C130&lt;=1,"0.5-1",
IF(C130&lt;=2,"1-2",
IF(C130&lt;=10,"2-10",
IF(C130&lt;=100,"10-100",
IF(C130&lt;=10000,"100-10000",
"10000+"))))))</f>
        <v>10-100</v>
      </c>
    </row>
    <row r="131" spans="1:10" x14ac:dyDescent="0.3">
      <c r="A131" t="s">
        <v>253</v>
      </c>
      <c r="B131" t="s">
        <v>254</v>
      </c>
      <c r="C131">
        <v>2.5</v>
      </c>
      <c r="D131">
        <v>0.25</v>
      </c>
      <c r="E131">
        <v>11930000</v>
      </c>
      <c r="F131">
        <v>2320000</v>
      </c>
      <c r="G131">
        <v>4750000</v>
      </c>
      <c r="H131">
        <f>Table2[[#This Row],[Volume (24h)]]/Table2[[#This Row],[Circulating Supply]]</f>
        <v>0.48842105263157892</v>
      </c>
      <c r="I131">
        <f>RANK(Table2[[#This Row],[Market Cap]],Table2[Market Cap],0)</f>
        <v>129</v>
      </c>
      <c r="J131" t="str">
        <f t="shared" si="2"/>
        <v>2-10</v>
      </c>
    </row>
    <row r="132" spans="1:10" x14ac:dyDescent="0.3">
      <c r="A132" t="s">
        <v>255</v>
      </c>
      <c r="B132" t="s">
        <v>256</v>
      </c>
      <c r="C132">
        <v>1.294E-2</v>
      </c>
      <c r="D132">
        <v>0.24</v>
      </c>
      <c r="E132">
        <v>11860000</v>
      </c>
      <c r="F132">
        <v>17920</v>
      </c>
      <c r="G132">
        <v>916780000</v>
      </c>
      <c r="H132">
        <f>Table2[[#This Row],[Volume (24h)]]/Table2[[#This Row],[Circulating Supply]]</f>
        <v>1.9546674229368007E-5</v>
      </c>
      <c r="I132">
        <f>RANK(Table2[[#This Row],[Market Cap]],Table2[Market Cap],0)</f>
        <v>130</v>
      </c>
      <c r="J132" t="str">
        <f t="shared" si="2"/>
        <v>0-0.5</v>
      </c>
    </row>
    <row r="133" spans="1:10" x14ac:dyDescent="0.3">
      <c r="A133" t="s">
        <v>257</v>
      </c>
      <c r="B133" t="s">
        <v>258</v>
      </c>
      <c r="C133">
        <v>1.1860000000000001E-2</v>
      </c>
      <c r="D133">
        <v>3.06</v>
      </c>
      <c r="E133">
        <v>11820000</v>
      </c>
      <c r="F133">
        <v>3350000</v>
      </c>
      <c r="G133">
        <v>997210000</v>
      </c>
      <c r="H133">
        <f>Table2[[#This Row],[Volume (24h)]]/Table2[[#This Row],[Circulating Supply]]</f>
        <v>3.3593726496926424E-3</v>
      </c>
      <c r="I133">
        <f>RANK(Table2[[#This Row],[Market Cap]],Table2[Market Cap],0)</f>
        <v>131</v>
      </c>
      <c r="J133" t="str">
        <f t="shared" si="2"/>
        <v>0-0.5</v>
      </c>
    </row>
    <row r="134" spans="1:10" x14ac:dyDescent="0.3">
      <c r="A134" t="s">
        <v>259</v>
      </c>
      <c r="B134" t="s">
        <v>260</v>
      </c>
      <c r="C134">
        <v>6.3210000000000002E-2</v>
      </c>
      <c r="D134">
        <v>0</v>
      </c>
      <c r="E134">
        <v>11780000</v>
      </c>
      <c r="G134">
        <v>186490000</v>
      </c>
      <c r="H134">
        <f>Table2[[#This Row],[Volume (24h)]]/Table2[[#This Row],[Circulating Supply]]</f>
        <v>0</v>
      </c>
      <c r="I134">
        <f>RANK(Table2[[#This Row],[Market Cap]],Table2[Market Cap],0)</f>
        <v>132</v>
      </c>
      <c r="J134" t="str">
        <f t="shared" si="2"/>
        <v>0-0.5</v>
      </c>
    </row>
    <row r="135" spans="1:10" x14ac:dyDescent="0.3">
      <c r="A135" t="s">
        <v>261</v>
      </c>
      <c r="B135" t="s">
        <v>261</v>
      </c>
      <c r="C135">
        <v>0.77969999999999995</v>
      </c>
      <c r="D135">
        <v>0.15</v>
      </c>
      <c r="E135">
        <v>11780000</v>
      </c>
      <c r="F135">
        <v>477190</v>
      </c>
      <c r="G135">
        <v>15110000</v>
      </c>
      <c r="H135">
        <f>Table2[[#This Row],[Volume (24h)]]/Table2[[#This Row],[Circulating Supply]]</f>
        <v>3.1581072137657179E-2</v>
      </c>
      <c r="I135">
        <f>RANK(Table2[[#This Row],[Market Cap]],Table2[Market Cap],0)</f>
        <v>132</v>
      </c>
      <c r="J135" t="str">
        <f t="shared" si="2"/>
        <v>0.5-1</v>
      </c>
    </row>
    <row r="136" spans="1:10" x14ac:dyDescent="0.3">
      <c r="A136" t="s">
        <v>262</v>
      </c>
      <c r="B136" t="s">
        <v>263</v>
      </c>
      <c r="C136">
        <v>310.04000000000002</v>
      </c>
      <c r="D136">
        <v>0.62</v>
      </c>
      <c r="E136">
        <v>11760000</v>
      </c>
      <c r="F136">
        <v>9000000</v>
      </c>
      <c r="G136">
        <v>37930</v>
      </c>
      <c r="H136">
        <f>Table2[[#This Row],[Volume (24h)]]/Table2[[#This Row],[Circulating Supply]]</f>
        <v>237.27919852359611</v>
      </c>
      <c r="I136">
        <f>RANK(Table2[[#This Row],[Market Cap]],Table2[Market Cap],0)</f>
        <v>134</v>
      </c>
      <c r="J136" t="str">
        <f t="shared" si="2"/>
        <v>100-10000</v>
      </c>
    </row>
    <row r="137" spans="1:10" x14ac:dyDescent="0.3">
      <c r="A137" t="s">
        <v>264</v>
      </c>
      <c r="B137" t="s">
        <v>265</v>
      </c>
      <c r="C137">
        <v>1.357E-2</v>
      </c>
      <c r="D137">
        <v>0.84</v>
      </c>
      <c r="E137">
        <v>9550000</v>
      </c>
      <c r="F137">
        <v>76.069999999999993</v>
      </c>
      <c r="G137">
        <v>703720000</v>
      </c>
      <c r="H137">
        <f>Table2[[#This Row],[Volume (24h)]]/Table2[[#This Row],[Circulating Supply]]</f>
        <v>1.0809697038594895E-7</v>
      </c>
      <c r="I137">
        <f>RANK(Table2[[#This Row],[Market Cap]],Table2[Market Cap],0)</f>
        <v>135</v>
      </c>
      <c r="J137" t="str">
        <f t="shared" si="2"/>
        <v>0-0.5</v>
      </c>
    </row>
    <row r="138" spans="1:10" x14ac:dyDescent="0.3">
      <c r="A138" t="s">
        <v>266</v>
      </c>
      <c r="B138" t="s">
        <v>267</v>
      </c>
      <c r="C138">
        <v>8.0409999999999995E-3</v>
      </c>
      <c r="D138">
        <v>0.42</v>
      </c>
      <c r="E138">
        <v>9430000</v>
      </c>
      <c r="F138">
        <v>1240000</v>
      </c>
      <c r="G138">
        <v>1170000000</v>
      </c>
      <c r="H138">
        <f>Table2[[#This Row],[Volume (24h)]]/Table2[[#This Row],[Circulating Supply]]</f>
        <v>1.0598290598290599E-3</v>
      </c>
      <c r="I138">
        <f>RANK(Table2[[#This Row],[Market Cap]],Table2[Market Cap],0)</f>
        <v>136</v>
      </c>
      <c r="J138" t="str">
        <f t="shared" si="2"/>
        <v>0-0.5</v>
      </c>
    </row>
    <row r="139" spans="1:10" x14ac:dyDescent="0.3">
      <c r="A139" t="s">
        <v>268</v>
      </c>
      <c r="B139" t="s">
        <v>269</v>
      </c>
      <c r="C139">
        <v>0.94079999999999997</v>
      </c>
      <c r="D139">
        <v>0.12</v>
      </c>
      <c r="E139">
        <v>9400000</v>
      </c>
      <c r="G139">
        <v>10000000</v>
      </c>
      <c r="H139">
        <f>Table2[[#This Row],[Volume (24h)]]/Table2[[#This Row],[Circulating Supply]]</f>
        <v>0</v>
      </c>
      <c r="I139">
        <f>RANK(Table2[[#This Row],[Market Cap]],Table2[Market Cap],0)</f>
        <v>137</v>
      </c>
      <c r="J139" t="str">
        <f t="shared" si="2"/>
        <v>0.5-1</v>
      </c>
    </row>
    <row r="140" spans="1:10" x14ac:dyDescent="0.3">
      <c r="A140" t="s">
        <v>270</v>
      </c>
      <c r="B140" t="s">
        <v>271</v>
      </c>
      <c r="C140">
        <v>5.2350000000000001E-3</v>
      </c>
      <c r="D140">
        <v>0.02</v>
      </c>
      <c r="E140">
        <v>9340000</v>
      </c>
      <c r="F140">
        <v>1330000</v>
      </c>
      <c r="G140">
        <v>1780000000</v>
      </c>
      <c r="H140">
        <f>Table2[[#This Row],[Volume (24h)]]/Table2[[#This Row],[Circulating Supply]]</f>
        <v>7.4719101123595501E-4</v>
      </c>
      <c r="I140">
        <f>RANK(Table2[[#This Row],[Market Cap]],Table2[Market Cap],0)</f>
        <v>138</v>
      </c>
      <c r="J140" t="str">
        <f t="shared" si="2"/>
        <v>0-0.5</v>
      </c>
    </row>
    <row r="141" spans="1:10" x14ac:dyDescent="0.3">
      <c r="A141" t="s">
        <v>272</v>
      </c>
      <c r="B141" t="s">
        <v>273</v>
      </c>
      <c r="C141">
        <v>1.883E-2</v>
      </c>
      <c r="D141">
        <v>0.05</v>
      </c>
      <c r="E141">
        <v>9290000</v>
      </c>
      <c r="F141">
        <v>1000000</v>
      </c>
      <c r="G141">
        <v>493580000</v>
      </c>
      <c r="H141">
        <f>Table2[[#This Row],[Volume (24h)]]/Table2[[#This Row],[Circulating Supply]]</f>
        <v>2.0260140200170185E-3</v>
      </c>
      <c r="I141">
        <f>RANK(Table2[[#This Row],[Market Cap]],Table2[Market Cap],0)</f>
        <v>139</v>
      </c>
      <c r="J141" t="str">
        <f t="shared" si="2"/>
        <v>0-0.5</v>
      </c>
    </row>
    <row r="142" spans="1:10" x14ac:dyDescent="0.3">
      <c r="A142" t="s">
        <v>274</v>
      </c>
      <c r="B142" t="s">
        <v>275</v>
      </c>
      <c r="C142">
        <v>0.1129</v>
      </c>
      <c r="D142">
        <v>0.12</v>
      </c>
      <c r="E142">
        <v>9260000</v>
      </c>
      <c r="G142">
        <v>82070000</v>
      </c>
      <c r="H142">
        <f>Table2[[#This Row],[Volume (24h)]]/Table2[[#This Row],[Circulating Supply]]</f>
        <v>0</v>
      </c>
      <c r="I142">
        <f>RANK(Table2[[#This Row],[Market Cap]],Table2[Market Cap],0)</f>
        <v>140</v>
      </c>
      <c r="J142" t="str">
        <f t="shared" si="2"/>
        <v>0-0.5</v>
      </c>
    </row>
    <row r="143" spans="1:10" x14ac:dyDescent="0.3">
      <c r="A143" t="s">
        <v>276</v>
      </c>
      <c r="B143" t="s">
        <v>277</v>
      </c>
      <c r="C143">
        <v>1.6049999999999998E-2</v>
      </c>
      <c r="D143">
        <v>0.21</v>
      </c>
      <c r="E143">
        <v>9210000</v>
      </c>
      <c r="F143">
        <v>256790</v>
      </c>
      <c r="G143">
        <v>574370000</v>
      </c>
      <c r="H143">
        <f>Table2[[#This Row],[Volume (24h)]]/Table2[[#This Row],[Circulating Supply]]</f>
        <v>4.4708114978149975E-4</v>
      </c>
      <c r="I143">
        <f>RANK(Table2[[#This Row],[Market Cap]],Table2[Market Cap],0)</f>
        <v>141</v>
      </c>
      <c r="J143" t="str">
        <f t="shared" si="2"/>
        <v>0-0.5</v>
      </c>
    </row>
    <row r="144" spans="1:10" x14ac:dyDescent="0.3">
      <c r="A144" t="s">
        <v>278</v>
      </c>
      <c r="B144" t="s">
        <v>279</v>
      </c>
      <c r="C144">
        <v>189.95</v>
      </c>
      <c r="D144">
        <v>0.19</v>
      </c>
      <c r="E144">
        <v>9200000</v>
      </c>
      <c r="F144">
        <v>6070000</v>
      </c>
      <c r="G144">
        <v>48480</v>
      </c>
      <c r="H144">
        <f>Table2[[#This Row],[Volume (24h)]]/Table2[[#This Row],[Circulating Supply]]</f>
        <v>125.20627062706271</v>
      </c>
      <c r="I144">
        <f>RANK(Table2[[#This Row],[Market Cap]],Table2[Market Cap],0)</f>
        <v>142</v>
      </c>
      <c r="J144" t="str">
        <f t="shared" si="2"/>
        <v>100-10000</v>
      </c>
    </row>
    <row r="145" spans="1:10" x14ac:dyDescent="0.3">
      <c r="A145" t="s">
        <v>280</v>
      </c>
      <c r="B145" t="s">
        <v>281</v>
      </c>
      <c r="C145">
        <v>2.0840000000000001E-2</v>
      </c>
      <c r="D145">
        <v>0.02</v>
      </c>
      <c r="E145">
        <v>9200000</v>
      </c>
      <c r="F145">
        <v>2570000</v>
      </c>
      <c r="G145">
        <v>441620000</v>
      </c>
      <c r="H145">
        <f>Table2[[#This Row],[Volume (24h)]]/Table2[[#This Row],[Circulating Supply]]</f>
        <v>5.8194828132783838E-3</v>
      </c>
      <c r="I145">
        <f>RANK(Table2[[#This Row],[Market Cap]],Table2[Market Cap],0)</f>
        <v>142</v>
      </c>
      <c r="J145" t="str">
        <f t="shared" si="2"/>
        <v>0-0.5</v>
      </c>
    </row>
    <row r="146" spans="1:10" x14ac:dyDescent="0.3">
      <c r="A146" t="s">
        <v>282</v>
      </c>
      <c r="B146" t="s">
        <v>283</v>
      </c>
      <c r="C146">
        <v>5.11E-2</v>
      </c>
      <c r="D146">
        <v>0.33</v>
      </c>
      <c r="E146">
        <v>9180000</v>
      </c>
      <c r="F146">
        <v>5090000</v>
      </c>
      <c r="G146">
        <v>179640000</v>
      </c>
      <c r="H146">
        <f>Table2[[#This Row],[Volume (24h)]]/Table2[[#This Row],[Circulating Supply]]</f>
        <v>2.8334446671120016E-2</v>
      </c>
      <c r="I146">
        <f>RANK(Table2[[#This Row],[Market Cap]],Table2[Market Cap],0)</f>
        <v>144</v>
      </c>
      <c r="J146" t="str">
        <f t="shared" si="2"/>
        <v>0-0.5</v>
      </c>
    </row>
    <row r="147" spans="1:10" x14ac:dyDescent="0.3">
      <c r="A147" t="s">
        <v>284</v>
      </c>
      <c r="B147" t="s">
        <v>285</v>
      </c>
      <c r="C147">
        <v>3.2039999999999999E-2</v>
      </c>
      <c r="D147">
        <v>0.08</v>
      </c>
      <c r="E147">
        <v>9170000</v>
      </c>
      <c r="F147">
        <v>4110000</v>
      </c>
      <c r="G147">
        <v>286300000</v>
      </c>
      <c r="H147">
        <f>Table2[[#This Row],[Volume (24h)]]/Table2[[#This Row],[Circulating Supply]]</f>
        <v>1.4355571079287461E-2</v>
      </c>
      <c r="I147">
        <f>RANK(Table2[[#This Row],[Market Cap]],Table2[Market Cap],0)</f>
        <v>146</v>
      </c>
      <c r="J147" t="str">
        <f t="shared" si="2"/>
        <v>0-0.5</v>
      </c>
    </row>
    <row r="148" spans="1:10" x14ac:dyDescent="0.3">
      <c r="A148" t="s">
        <v>286</v>
      </c>
      <c r="B148" t="s">
        <v>287</v>
      </c>
      <c r="C148">
        <v>1.06</v>
      </c>
      <c r="D148">
        <v>0.06</v>
      </c>
      <c r="E148">
        <v>9170000</v>
      </c>
      <c r="F148">
        <v>223200</v>
      </c>
      <c r="G148">
        <v>8610000</v>
      </c>
      <c r="H148">
        <f>Table2[[#This Row],[Volume (24h)]]/Table2[[#This Row],[Circulating Supply]]</f>
        <v>2.5923344947735193E-2</v>
      </c>
      <c r="I148">
        <f>RANK(Table2[[#This Row],[Market Cap]],Table2[Market Cap],0)</f>
        <v>146</v>
      </c>
      <c r="J148" t="str">
        <f t="shared" si="2"/>
        <v>1-2</v>
      </c>
    </row>
    <row r="149" spans="1:10" x14ac:dyDescent="0.3">
      <c r="A149" t="s">
        <v>288</v>
      </c>
      <c r="B149" t="s">
        <v>289</v>
      </c>
      <c r="C149">
        <v>9.1819999999999992E-3</v>
      </c>
      <c r="D149">
        <v>0.85</v>
      </c>
      <c r="E149">
        <v>9180000</v>
      </c>
      <c r="F149">
        <v>7170000</v>
      </c>
      <c r="G149">
        <v>999940000</v>
      </c>
      <c r="H149">
        <f>Table2[[#This Row],[Volume (24h)]]/Table2[[#This Row],[Circulating Supply]]</f>
        <v>7.1704302258135486E-3</v>
      </c>
      <c r="I149">
        <f>RANK(Table2[[#This Row],[Market Cap]],Table2[Market Cap],0)</f>
        <v>144</v>
      </c>
      <c r="J149" t="str">
        <f t="shared" si="2"/>
        <v>0-0.5</v>
      </c>
    </row>
    <row r="150" spans="1:10" x14ac:dyDescent="0.3">
      <c r="A150" t="s">
        <v>290</v>
      </c>
      <c r="B150" t="s">
        <v>291</v>
      </c>
      <c r="C150">
        <v>7.6010000000000001E-3</v>
      </c>
      <c r="D150">
        <v>0.05</v>
      </c>
      <c r="E150">
        <v>9150000</v>
      </c>
      <c r="F150">
        <v>3070000</v>
      </c>
      <c r="G150">
        <v>1200000000</v>
      </c>
      <c r="H150">
        <f>Table2[[#This Row],[Volume (24h)]]/Table2[[#This Row],[Circulating Supply]]</f>
        <v>2.5583333333333335E-3</v>
      </c>
      <c r="I150">
        <f>RANK(Table2[[#This Row],[Market Cap]],Table2[Market Cap],0)</f>
        <v>148</v>
      </c>
      <c r="J150" t="str">
        <f t="shared" si="2"/>
        <v>0-0.5</v>
      </c>
    </row>
    <row r="151" spans="1:10" x14ac:dyDescent="0.3">
      <c r="A151" t="s">
        <v>292</v>
      </c>
      <c r="B151" t="s">
        <v>293</v>
      </c>
      <c r="C151">
        <v>9.1590000000000005E-3</v>
      </c>
      <c r="D151">
        <v>0.08</v>
      </c>
      <c r="E151">
        <v>9150000</v>
      </c>
      <c r="F151">
        <v>463990</v>
      </c>
      <c r="G151">
        <v>999440000</v>
      </c>
      <c r="H151">
        <f>Table2[[#This Row],[Volume (24h)]]/Table2[[#This Row],[Circulating Supply]]</f>
        <v>4.6424997998879375E-4</v>
      </c>
      <c r="I151">
        <f>RANK(Table2[[#This Row],[Market Cap]],Table2[Market Cap],0)</f>
        <v>148</v>
      </c>
      <c r="J151" t="str">
        <f t="shared" si="2"/>
        <v>0-0.5</v>
      </c>
    </row>
    <row r="152" spans="1:10" x14ac:dyDescent="0.3">
      <c r="A152" t="s">
        <v>294</v>
      </c>
      <c r="B152" t="s">
        <v>295</v>
      </c>
      <c r="C152">
        <v>1.213E-2</v>
      </c>
      <c r="D152">
        <v>3.01</v>
      </c>
      <c r="E152">
        <v>7420000</v>
      </c>
      <c r="F152">
        <v>2370000</v>
      </c>
      <c r="G152">
        <v>611510000</v>
      </c>
      <c r="H152">
        <f>Table2[[#This Row],[Volume (24h)]]/Table2[[#This Row],[Circulating Supply]]</f>
        <v>3.8756520743732726E-3</v>
      </c>
      <c r="I152">
        <f>RANK(Table2[[#This Row],[Market Cap]],Table2[Market Cap],0)</f>
        <v>150</v>
      </c>
      <c r="J152" t="str">
        <f t="shared" si="2"/>
        <v>0-0.5</v>
      </c>
    </row>
    <row r="153" spans="1:10" x14ac:dyDescent="0.3">
      <c r="A153" t="s">
        <v>296</v>
      </c>
      <c r="B153" t="s">
        <v>297</v>
      </c>
      <c r="C153">
        <v>0.84689999999999999</v>
      </c>
      <c r="D153">
        <v>0.28000000000000003</v>
      </c>
      <c r="E153">
        <v>7390000</v>
      </c>
      <c r="F153">
        <v>3250000</v>
      </c>
      <c r="G153">
        <v>8730000</v>
      </c>
      <c r="H153">
        <f>Table2[[#This Row],[Volume (24h)]]/Table2[[#This Row],[Circulating Supply]]</f>
        <v>0.37227949599083621</v>
      </c>
      <c r="I153">
        <f>RANK(Table2[[#This Row],[Market Cap]],Table2[Market Cap],0)</f>
        <v>151</v>
      </c>
      <c r="J153" t="str">
        <f t="shared" si="2"/>
        <v>0.5-1</v>
      </c>
    </row>
    <row r="154" spans="1:10" x14ac:dyDescent="0.3">
      <c r="A154" t="s">
        <v>298</v>
      </c>
      <c r="B154" t="s">
        <v>299</v>
      </c>
      <c r="C154">
        <v>0.51459999999999995</v>
      </c>
      <c r="D154">
        <v>0.21</v>
      </c>
      <c r="E154">
        <v>7380000</v>
      </c>
      <c r="F154">
        <v>1530000</v>
      </c>
      <c r="G154">
        <v>14340000</v>
      </c>
      <c r="H154">
        <f>Table2[[#This Row],[Volume (24h)]]/Table2[[#This Row],[Circulating Supply]]</f>
        <v>0.10669456066945607</v>
      </c>
      <c r="I154">
        <f>RANK(Table2[[#This Row],[Market Cap]],Table2[Market Cap],0)</f>
        <v>152</v>
      </c>
      <c r="J154" t="str">
        <f t="shared" si="2"/>
        <v>0.5-1</v>
      </c>
    </row>
    <row r="155" spans="1:10" x14ac:dyDescent="0.3">
      <c r="A155" t="s">
        <v>300</v>
      </c>
      <c r="B155" t="s">
        <v>301</v>
      </c>
      <c r="C155">
        <v>93.78</v>
      </c>
      <c r="D155">
        <v>1.01</v>
      </c>
      <c r="E155">
        <v>7370000</v>
      </c>
      <c r="F155">
        <v>1870000</v>
      </c>
      <c r="G155">
        <v>78610</v>
      </c>
      <c r="H155">
        <f>Table2[[#This Row],[Volume (24h)]]/Table2[[#This Row],[Circulating Supply]]</f>
        <v>23.788322096425389</v>
      </c>
      <c r="I155">
        <f>RANK(Table2[[#This Row],[Market Cap]],Table2[Market Cap],0)</f>
        <v>153</v>
      </c>
      <c r="J155" t="str">
        <f t="shared" si="2"/>
        <v>10-100</v>
      </c>
    </row>
    <row r="156" spans="1:10" x14ac:dyDescent="0.3">
      <c r="A156" t="s">
        <v>302</v>
      </c>
      <c r="B156" t="s">
        <v>303</v>
      </c>
      <c r="C156">
        <v>1.8020000000000001E-2</v>
      </c>
      <c r="D156">
        <v>0.03</v>
      </c>
      <c r="E156">
        <v>7370000</v>
      </c>
      <c r="F156">
        <v>3930000</v>
      </c>
      <c r="G156">
        <v>409110000</v>
      </c>
      <c r="H156">
        <f>Table2[[#This Row],[Volume (24h)]]/Table2[[#This Row],[Circulating Supply]]</f>
        <v>9.6062183764757652E-3</v>
      </c>
      <c r="I156">
        <f>RANK(Table2[[#This Row],[Market Cap]],Table2[Market Cap],0)</f>
        <v>153</v>
      </c>
      <c r="J156" t="str">
        <f t="shared" si="2"/>
        <v>0-0.5</v>
      </c>
    </row>
    <row r="157" spans="1:10" x14ac:dyDescent="0.3">
      <c r="A157" t="s">
        <v>304</v>
      </c>
      <c r="B157" t="s">
        <v>304</v>
      </c>
      <c r="C157">
        <v>7.3530000000000002E-3</v>
      </c>
      <c r="D157">
        <v>0.99</v>
      </c>
      <c r="E157">
        <v>7340000</v>
      </c>
      <c r="F157">
        <v>539290</v>
      </c>
      <c r="G157">
        <v>999190000</v>
      </c>
      <c r="H157">
        <f>Table2[[#This Row],[Volume (24h)]]/Table2[[#This Row],[Circulating Supply]]</f>
        <v>5.3972717901500219E-4</v>
      </c>
      <c r="I157">
        <f>RANK(Table2[[#This Row],[Market Cap]],Table2[Market Cap],0)</f>
        <v>155</v>
      </c>
      <c r="J157" t="str">
        <f t="shared" si="2"/>
        <v>0-0.5</v>
      </c>
    </row>
    <row r="158" spans="1:10" x14ac:dyDescent="0.3">
      <c r="A158" t="s">
        <v>305</v>
      </c>
      <c r="B158" t="s">
        <v>306</v>
      </c>
      <c r="C158">
        <v>108.07</v>
      </c>
      <c r="D158">
        <v>0.23</v>
      </c>
      <c r="E158">
        <v>7250000</v>
      </c>
      <c r="F158">
        <v>549860</v>
      </c>
      <c r="G158">
        <v>67120</v>
      </c>
      <c r="H158">
        <f>Table2[[#This Row],[Volume (24h)]]/Table2[[#This Row],[Circulating Supply]]</f>
        <v>8.1921930870083433</v>
      </c>
      <c r="I158">
        <f>RANK(Table2[[#This Row],[Market Cap]],Table2[Market Cap],0)</f>
        <v>156</v>
      </c>
      <c r="J158" t="str">
        <f t="shared" si="2"/>
        <v>100-10000</v>
      </c>
    </row>
    <row r="159" spans="1:10" x14ac:dyDescent="0.3">
      <c r="A159" t="s">
        <v>307</v>
      </c>
      <c r="B159" t="s">
        <v>308</v>
      </c>
      <c r="C159">
        <v>64.97</v>
      </c>
      <c r="D159">
        <v>0.05</v>
      </c>
      <c r="E159">
        <v>7240000</v>
      </c>
      <c r="F159">
        <v>504730</v>
      </c>
      <c r="G159">
        <v>111490</v>
      </c>
      <c r="H159">
        <f>Table2[[#This Row],[Volume (24h)]]/Table2[[#This Row],[Circulating Supply]]</f>
        <v>4.52713247824917</v>
      </c>
      <c r="I159">
        <f>RANK(Table2[[#This Row],[Market Cap]],Table2[Market Cap],0)</f>
        <v>157</v>
      </c>
      <c r="J159" t="str">
        <f t="shared" si="2"/>
        <v>10-100</v>
      </c>
    </row>
    <row r="160" spans="1:10" x14ac:dyDescent="0.3">
      <c r="A160" t="s">
        <v>309</v>
      </c>
      <c r="B160" t="s">
        <v>310</v>
      </c>
      <c r="C160">
        <v>0.60899999999999999</v>
      </c>
      <c r="D160">
        <v>0.01</v>
      </c>
      <c r="E160">
        <v>7230000</v>
      </c>
      <c r="F160">
        <v>326.52999999999997</v>
      </c>
      <c r="G160">
        <v>11880000</v>
      </c>
      <c r="H160">
        <f>Table2[[#This Row],[Volume (24h)]]/Table2[[#This Row],[Circulating Supply]]</f>
        <v>2.7485690235690234E-5</v>
      </c>
      <c r="I160">
        <f>RANK(Table2[[#This Row],[Market Cap]],Table2[Market Cap],0)</f>
        <v>158</v>
      </c>
      <c r="J160" t="str">
        <f t="shared" si="2"/>
        <v>0.5-1</v>
      </c>
    </row>
    <row r="161" spans="1:10" x14ac:dyDescent="0.3">
      <c r="A161" t="s">
        <v>311</v>
      </c>
      <c r="B161" t="s">
        <v>312</v>
      </c>
      <c r="C161">
        <v>1.4959999999999999E-2</v>
      </c>
      <c r="D161">
        <v>0.24</v>
      </c>
      <c r="E161">
        <v>7230000</v>
      </c>
      <c r="F161">
        <v>1820000</v>
      </c>
      <c r="G161">
        <v>483330000</v>
      </c>
      <c r="H161">
        <f>Table2[[#This Row],[Volume (24h)]]/Table2[[#This Row],[Circulating Supply]]</f>
        <v>3.7655432106428318E-3</v>
      </c>
      <c r="I161">
        <f>RANK(Table2[[#This Row],[Market Cap]],Table2[Market Cap],0)</f>
        <v>158</v>
      </c>
      <c r="J161" t="str">
        <f t="shared" si="2"/>
        <v>0-0.5</v>
      </c>
    </row>
    <row r="162" spans="1:10" x14ac:dyDescent="0.3">
      <c r="A162" t="s">
        <v>313</v>
      </c>
      <c r="B162" t="s">
        <v>314</v>
      </c>
      <c r="C162">
        <v>2.6179999999999998E-2</v>
      </c>
      <c r="D162">
        <v>0</v>
      </c>
      <c r="E162">
        <v>7190000</v>
      </c>
      <c r="G162">
        <v>274530000</v>
      </c>
      <c r="H162">
        <f>Table2[[#This Row],[Volume (24h)]]/Table2[[#This Row],[Circulating Supply]]</f>
        <v>0</v>
      </c>
      <c r="I162">
        <f>RANK(Table2[[#This Row],[Market Cap]],Table2[Market Cap],0)</f>
        <v>160</v>
      </c>
      <c r="J162" t="str">
        <f t="shared" si="2"/>
        <v>0-0.5</v>
      </c>
    </row>
    <row r="163" spans="1:10" x14ac:dyDescent="0.3">
      <c r="A163" t="s">
        <v>315</v>
      </c>
      <c r="B163" t="s">
        <v>316</v>
      </c>
      <c r="C163">
        <v>8.4909999999999998E-4</v>
      </c>
      <c r="D163">
        <v>1.8</v>
      </c>
      <c r="E163">
        <v>7130000</v>
      </c>
      <c r="F163">
        <v>448520</v>
      </c>
      <c r="G163">
        <v>8390000000.000001</v>
      </c>
      <c r="H163">
        <f>Table2[[#This Row],[Volume (24h)]]/Table2[[#This Row],[Circulating Supply]]</f>
        <v>5.3458879618593555E-5</v>
      </c>
      <c r="I163">
        <f>RANK(Table2[[#This Row],[Market Cap]],Table2[Market Cap],0)</f>
        <v>161</v>
      </c>
      <c r="J163" t="str">
        <f t="shared" si="2"/>
        <v>0-0.5</v>
      </c>
    </row>
    <row r="164" spans="1:10" x14ac:dyDescent="0.3">
      <c r="A164" t="s">
        <v>317</v>
      </c>
      <c r="B164" t="s">
        <v>318</v>
      </c>
      <c r="C164">
        <v>0.10150000000000001</v>
      </c>
      <c r="D164">
        <v>1.23</v>
      </c>
      <c r="E164">
        <v>7080000</v>
      </c>
      <c r="F164">
        <v>384890</v>
      </c>
      <c r="G164">
        <v>69780000</v>
      </c>
      <c r="H164">
        <f>Table2[[#This Row],[Volume (24h)]]/Table2[[#This Row],[Circulating Supply]]</f>
        <v>5.515763829177415E-3</v>
      </c>
      <c r="I164">
        <f>RANK(Table2[[#This Row],[Market Cap]],Table2[Market Cap],0)</f>
        <v>162</v>
      </c>
      <c r="J164" t="str">
        <f t="shared" si="2"/>
        <v>0-0.5</v>
      </c>
    </row>
    <row r="165" spans="1:10" x14ac:dyDescent="0.3">
      <c r="A165" t="s">
        <v>319</v>
      </c>
      <c r="B165" t="s">
        <v>320</v>
      </c>
      <c r="C165">
        <v>6.8819999999999995E-5</v>
      </c>
      <c r="D165">
        <v>1.07</v>
      </c>
      <c r="E165">
        <v>7080000</v>
      </c>
      <c r="F165">
        <v>18490</v>
      </c>
      <c r="G165">
        <v>102920000000</v>
      </c>
      <c r="H165">
        <f>Table2[[#This Row],[Volume (24h)]]/Table2[[#This Row],[Circulating Supply]]</f>
        <v>1.7965410027205597E-7</v>
      </c>
      <c r="I165">
        <f>RANK(Table2[[#This Row],[Market Cap]],Table2[Market Cap],0)</f>
        <v>162</v>
      </c>
      <c r="J165" t="str">
        <f t="shared" si="2"/>
        <v>0-0.5</v>
      </c>
    </row>
    <row r="166" spans="1:10" x14ac:dyDescent="0.3">
      <c r="A166" t="s">
        <v>321</v>
      </c>
      <c r="B166" t="s">
        <v>322</v>
      </c>
      <c r="C166">
        <v>0.26919999999999999</v>
      </c>
      <c r="D166">
        <v>1.03</v>
      </c>
      <c r="E166">
        <v>7060000</v>
      </c>
      <c r="F166">
        <v>2390000</v>
      </c>
      <c r="G166">
        <v>26230000</v>
      </c>
      <c r="H166">
        <f>Table2[[#This Row],[Volume (24h)]]/Table2[[#This Row],[Circulating Supply]]</f>
        <v>9.1117041555470832E-2</v>
      </c>
      <c r="I166">
        <f>RANK(Table2[[#This Row],[Market Cap]],Table2[Market Cap],0)</f>
        <v>164</v>
      </c>
      <c r="J166" t="str">
        <f t="shared" si="2"/>
        <v>0-0.5</v>
      </c>
    </row>
    <row r="167" spans="1:10" x14ac:dyDescent="0.3">
      <c r="A167" t="s">
        <v>323</v>
      </c>
      <c r="B167" t="s">
        <v>324</v>
      </c>
      <c r="C167">
        <v>9.6360000000000005E-3</v>
      </c>
      <c r="D167">
        <v>0.13</v>
      </c>
      <c r="E167">
        <v>5710000</v>
      </c>
      <c r="F167">
        <v>671970</v>
      </c>
      <c r="G167">
        <v>593560000</v>
      </c>
      <c r="H167">
        <f>Table2[[#This Row],[Volume (24h)]]/Table2[[#This Row],[Circulating Supply]]</f>
        <v>1.1321012197587439E-3</v>
      </c>
      <c r="I167">
        <f>RANK(Table2[[#This Row],[Market Cap]],Table2[Market Cap],0)</f>
        <v>166</v>
      </c>
      <c r="J167" t="str">
        <f t="shared" si="2"/>
        <v>0-0.5</v>
      </c>
    </row>
    <row r="168" spans="1:10" x14ac:dyDescent="0.3">
      <c r="A168" t="s">
        <v>325</v>
      </c>
      <c r="B168" t="s">
        <v>326</v>
      </c>
      <c r="C168">
        <v>4.5970000000000004E-3</v>
      </c>
      <c r="D168">
        <v>0.78</v>
      </c>
      <c r="E168">
        <v>5710000</v>
      </c>
      <c r="F168">
        <v>1870000</v>
      </c>
      <c r="G168">
        <v>1240000000</v>
      </c>
      <c r="H168">
        <f>Table2[[#This Row],[Volume (24h)]]/Table2[[#This Row],[Circulating Supply]]</f>
        <v>1.5080645161290322E-3</v>
      </c>
      <c r="I168">
        <f>RANK(Table2[[#This Row],[Market Cap]],Table2[Market Cap],0)</f>
        <v>166</v>
      </c>
      <c r="J168" t="str">
        <f t="shared" si="2"/>
        <v>0-0.5</v>
      </c>
    </row>
    <row r="169" spans="1:10" x14ac:dyDescent="0.3">
      <c r="A169" t="s">
        <v>327</v>
      </c>
      <c r="B169" t="s">
        <v>328</v>
      </c>
      <c r="C169">
        <v>0.1628</v>
      </c>
      <c r="D169">
        <v>0.02</v>
      </c>
      <c r="E169">
        <v>5710000</v>
      </c>
      <c r="F169">
        <v>221390</v>
      </c>
      <c r="G169">
        <v>35080000</v>
      </c>
      <c r="H169">
        <f>Table2[[#This Row],[Volume (24h)]]/Table2[[#This Row],[Circulating Supply]]</f>
        <v>6.3110034207525655E-3</v>
      </c>
      <c r="I169">
        <f>RANK(Table2[[#This Row],[Market Cap]],Table2[Market Cap],0)</f>
        <v>166</v>
      </c>
      <c r="J169" t="str">
        <f t="shared" si="2"/>
        <v>0-0.5</v>
      </c>
    </row>
    <row r="170" spans="1:10" x14ac:dyDescent="0.3">
      <c r="A170" t="s">
        <v>329</v>
      </c>
      <c r="B170" t="s">
        <v>329</v>
      </c>
      <c r="C170">
        <v>1.3859999999999999E-5</v>
      </c>
      <c r="D170">
        <v>0.91</v>
      </c>
      <c r="E170">
        <v>5700000</v>
      </c>
      <c r="F170">
        <v>260720</v>
      </c>
      <c r="G170">
        <v>411670000000</v>
      </c>
      <c r="H170">
        <f>Table2[[#This Row],[Volume (24h)]]/Table2[[#This Row],[Circulating Supply]]</f>
        <v>6.3332280710277652E-7</v>
      </c>
      <c r="I170">
        <f>RANK(Table2[[#This Row],[Market Cap]],Table2[Market Cap],0)</f>
        <v>169</v>
      </c>
      <c r="J170" t="str">
        <f t="shared" si="2"/>
        <v>0-0.5</v>
      </c>
    </row>
    <row r="171" spans="1:10" x14ac:dyDescent="0.3">
      <c r="A171" t="s">
        <v>330</v>
      </c>
      <c r="B171" t="s">
        <v>331</v>
      </c>
      <c r="C171">
        <v>9.3000000000000007</v>
      </c>
      <c r="D171">
        <v>0.08</v>
      </c>
      <c r="E171">
        <v>5680000</v>
      </c>
      <c r="F171">
        <v>19250000</v>
      </c>
      <c r="G171">
        <v>610760</v>
      </c>
      <c r="H171">
        <f>Table2[[#This Row],[Volume (24h)]]/Table2[[#This Row],[Circulating Supply]]</f>
        <v>31.51810858602397</v>
      </c>
      <c r="I171">
        <f>RANK(Table2[[#This Row],[Market Cap]],Table2[Market Cap],0)</f>
        <v>170</v>
      </c>
      <c r="J171" t="str">
        <f t="shared" si="2"/>
        <v>2-10</v>
      </c>
    </row>
    <row r="172" spans="1:10" x14ac:dyDescent="0.3">
      <c r="A172" t="s">
        <v>332</v>
      </c>
      <c r="B172" t="s">
        <v>333</v>
      </c>
      <c r="C172">
        <v>9.1100000000000003E-4</v>
      </c>
      <c r="D172">
        <v>0.03</v>
      </c>
      <c r="E172">
        <v>5680000</v>
      </c>
      <c r="F172">
        <v>520190.00000000012</v>
      </c>
      <c r="G172">
        <v>6230000000</v>
      </c>
      <c r="H172">
        <f>Table2[[#This Row],[Volume (24h)]]/Table2[[#This Row],[Circulating Supply]]</f>
        <v>8.3497592295345125E-5</v>
      </c>
      <c r="I172">
        <f>RANK(Table2[[#This Row],[Market Cap]],Table2[Market Cap],0)</f>
        <v>170</v>
      </c>
      <c r="J172" t="str">
        <f t="shared" si="2"/>
        <v>0-0.5</v>
      </c>
    </row>
    <row r="173" spans="1:10" x14ac:dyDescent="0.3">
      <c r="A173" t="s">
        <v>334</v>
      </c>
      <c r="B173" t="s">
        <v>335</v>
      </c>
      <c r="C173">
        <v>3.4360000000000002E-2</v>
      </c>
      <c r="D173">
        <v>0.01</v>
      </c>
      <c r="E173">
        <v>5670000</v>
      </c>
      <c r="F173">
        <v>9890</v>
      </c>
      <c r="G173">
        <v>165170000</v>
      </c>
      <c r="H173">
        <f>Table2[[#This Row],[Volume (24h)]]/Table2[[#This Row],[Circulating Supply]]</f>
        <v>5.9877701761821155E-5</v>
      </c>
      <c r="I173">
        <f>RANK(Table2[[#This Row],[Market Cap]],Table2[Market Cap],0)</f>
        <v>172</v>
      </c>
      <c r="J173" t="str">
        <f t="shared" si="2"/>
        <v>0-0.5</v>
      </c>
    </row>
    <row r="174" spans="1:10" x14ac:dyDescent="0.3">
      <c r="A174" t="s">
        <v>336</v>
      </c>
      <c r="B174" t="s">
        <v>337</v>
      </c>
      <c r="C174">
        <v>0.24560000000000001</v>
      </c>
      <c r="D174">
        <v>0.01</v>
      </c>
      <c r="E174">
        <v>5670000</v>
      </c>
      <c r="F174">
        <v>243470</v>
      </c>
      <c r="G174">
        <v>23080000</v>
      </c>
      <c r="H174">
        <f>Table2[[#This Row],[Volume (24h)]]/Table2[[#This Row],[Circulating Supply]]</f>
        <v>1.0548960138648181E-2</v>
      </c>
      <c r="I174">
        <f>RANK(Table2[[#This Row],[Market Cap]],Table2[Market Cap],0)</f>
        <v>172</v>
      </c>
      <c r="J174" t="str">
        <f t="shared" si="2"/>
        <v>0-0.5</v>
      </c>
    </row>
    <row r="175" spans="1:10" x14ac:dyDescent="0.3">
      <c r="A175" t="s">
        <v>338</v>
      </c>
      <c r="B175" t="s">
        <v>339</v>
      </c>
      <c r="C175">
        <v>9.4490000000000008E-3</v>
      </c>
      <c r="D175">
        <v>0.21</v>
      </c>
      <c r="E175">
        <v>5660000</v>
      </c>
      <c r="F175">
        <v>762630</v>
      </c>
      <c r="G175">
        <v>599390000</v>
      </c>
      <c r="H175">
        <f>Table2[[#This Row],[Volume (24h)]]/Table2[[#This Row],[Circulating Supply]]</f>
        <v>1.2723435492750963E-3</v>
      </c>
      <c r="I175">
        <f>RANK(Table2[[#This Row],[Market Cap]],Table2[Market Cap],0)</f>
        <v>174</v>
      </c>
      <c r="J175" t="str">
        <f t="shared" si="2"/>
        <v>0-0.5</v>
      </c>
    </row>
    <row r="176" spans="1:10" x14ac:dyDescent="0.3">
      <c r="A176" t="s">
        <v>340</v>
      </c>
      <c r="B176" t="s">
        <v>341</v>
      </c>
      <c r="C176">
        <v>389.13</v>
      </c>
      <c r="D176">
        <v>0.47</v>
      </c>
      <c r="E176">
        <v>5660000</v>
      </c>
      <c r="F176">
        <v>3050000</v>
      </c>
      <c r="G176">
        <v>14550</v>
      </c>
      <c r="H176">
        <f>Table2[[#This Row],[Volume (24h)]]/Table2[[#This Row],[Circulating Supply]]</f>
        <v>209.62199312714776</v>
      </c>
      <c r="I176">
        <f>RANK(Table2[[#This Row],[Market Cap]],Table2[Market Cap],0)</f>
        <v>174</v>
      </c>
      <c r="J176" t="str">
        <f t="shared" si="2"/>
        <v>100-10000</v>
      </c>
    </row>
    <row r="177" spans="1:10" x14ac:dyDescent="0.3">
      <c r="A177" t="s">
        <v>342</v>
      </c>
      <c r="B177" t="s">
        <v>343</v>
      </c>
      <c r="C177">
        <v>7.6429999999999998E-2</v>
      </c>
      <c r="D177">
        <v>0.19</v>
      </c>
      <c r="E177">
        <v>5630000</v>
      </c>
      <c r="F177">
        <v>806990</v>
      </c>
      <c r="G177">
        <v>73730000</v>
      </c>
      <c r="H177">
        <f>Table2[[#This Row],[Volume (24h)]]/Table2[[#This Row],[Circulating Supply]]</f>
        <v>1.0945205479452054E-2</v>
      </c>
      <c r="I177">
        <f>RANK(Table2[[#This Row],[Market Cap]],Table2[Market Cap],0)</f>
        <v>176</v>
      </c>
      <c r="J177" t="str">
        <f t="shared" si="2"/>
        <v>0-0.5</v>
      </c>
    </row>
    <row r="178" spans="1:10" x14ac:dyDescent="0.3">
      <c r="A178" t="s">
        <v>344</v>
      </c>
      <c r="B178" t="s">
        <v>345</v>
      </c>
      <c r="C178">
        <v>3.5970000000000002E-2</v>
      </c>
      <c r="D178">
        <v>0.56999999999999995</v>
      </c>
      <c r="E178">
        <v>5610000</v>
      </c>
      <c r="F178">
        <v>3830000</v>
      </c>
      <c r="G178">
        <v>156120000</v>
      </c>
      <c r="H178">
        <f>Table2[[#This Row],[Volume (24h)]]/Table2[[#This Row],[Circulating Supply]]</f>
        <v>2.4532410965923648E-2</v>
      </c>
      <c r="I178">
        <f>RANK(Table2[[#This Row],[Market Cap]],Table2[Market Cap],0)</f>
        <v>177</v>
      </c>
      <c r="J178" t="str">
        <f t="shared" si="2"/>
        <v>0-0.5</v>
      </c>
    </row>
    <row r="179" spans="1:10" x14ac:dyDescent="0.3">
      <c r="A179" t="s">
        <v>346</v>
      </c>
      <c r="B179" t="s">
        <v>347</v>
      </c>
      <c r="C179">
        <v>0.13020000000000001</v>
      </c>
      <c r="D179">
        <v>0.31</v>
      </c>
      <c r="E179">
        <v>5600000</v>
      </c>
      <c r="F179">
        <v>3260000</v>
      </c>
      <c r="G179">
        <v>43050000</v>
      </c>
      <c r="H179">
        <f>Table2[[#This Row],[Volume (24h)]]/Table2[[#This Row],[Circulating Supply]]</f>
        <v>7.5725900116144024E-2</v>
      </c>
      <c r="I179">
        <f>RANK(Table2[[#This Row],[Market Cap]],Table2[Market Cap],0)</f>
        <v>178</v>
      </c>
      <c r="J179" t="str">
        <f t="shared" si="2"/>
        <v>0-0.5</v>
      </c>
    </row>
    <row r="180" spans="1:10" x14ac:dyDescent="0.3">
      <c r="A180" t="s">
        <v>348</v>
      </c>
      <c r="B180" t="s">
        <v>349</v>
      </c>
      <c r="C180">
        <v>7.9419999999999994E-3</v>
      </c>
      <c r="D180">
        <v>0.01</v>
      </c>
      <c r="E180">
        <v>5590000</v>
      </c>
      <c r="F180">
        <v>5090000</v>
      </c>
      <c r="G180">
        <v>704060000</v>
      </c>
      <c r="H180">
        <f>Table2[[#This Row],[Volume (24h)]]/Table2[[#This Row],[Circulating Supply]]</f>
        <v>7.2294974860097148E-3</v>
      </c>
      <c r="I180">
        <f>RANK(Table2[[#This Row],[Market Cap]],Table2[Market Cap],0)</f>
        <v>179</v>
      </c>
      <c r="J180" t="str">
        <f t="shared" si="2"/>
        <v>0-0.5</v>
      </c>
    </row>
    <row r="181" spans="1:10" x14ac:dyDescent="0.3">
      <c r="A181" t="s">
        <v>350</v>
      </c>
      <c r="B181" t="s">
        <v>351</v>
      </c>
      <c r="C181">
        <v>0.1221</v>
      </c>
      <c r="D181">
        <v>0</v>
      </c>
      <c r="E181">
        <v>5570000</v>
      </c>
      <c r="G181">
        <v>45660000</v>
      </c>
      <c r="H181">
        <f>Table2[[#This Row],[Volume (24h)]]/Table2[[#This Row],[Circulating Supply]]</f>
        <v>0</v>
      </c>
      <c r="I181">
        <f>RANK(Table2[[#This Row],[Market Cap]],Table2[Market Cap],0)</f>
        <v>180</v>
      </c>
      <c r="J181" t="str">
        <f t="shared" si="2"/>
        <v>0-0.5</v>
      </c>
    </row>
    <row r="182" spans="1:10" x14ac:dyDescent="0.3">
      <c r="A182" t="s">
        <v>352</v>
      </c>
      <c r="B182" t="s">
        <v>353</v>
      </c>
      <c r="C182">
        <v>7.1089999999999999E-3</v>
      </c>
      <c r="D182">
        <v>0.54</v>
      </c>
      <c r="E182">
        <v>4380000</v>
      </c>
      <c r="F182">
        <v>698800</v>
      </c>
      <c r="G182">
        <v>616750000</v>
      </c>
      <c r="H182">
        <f>Table2[[#This Row],[Volume (24h)]]/Table2[[#This Row],[Circulating Supply]]</f>
        <v>1.1330360762059181E-3</v>
      </c>
      <c r="I182">
        <f>RANK(Table2[[#This Row],[Market Cap]],Table2[Market Cap],0)</f>
        <v>181</v>
      </c>
      <c r="J182" t="str">
        <f t="shared" si="2"/>
        <v>0-0.5</v>
      </c>
    </row>
    <row r="183" spans="1:10" x14ac:dyDescent="0.3">
      <c r="A183" t="s">
        <v>354</v>
      </c>
      <c r="B183" t="s">
        <v>355</v>
      </c>
      <c r="C183">
        <v>3.4180000000000002E-2</v>
      </c>
      <c r="D183">
        <v>0.32</v>
      </c>
      <c r="E183">
        <v>4350000</v>
      </c>
      <c r="F183">
        <v>1850000</v>
      </c>
      <c r="G183">
        <v>127500000</v>
      </c>
      <c r="H183">
        <f>Table2[[#This Row],[Volume (24h)]]/Table2[[#This Row],[Circulating Supply]]</f>
        <v>1.4509803921568627E-2</v>
      </c>
      <c r="I183">
        <f>RANK(Table2[[#This Row],[Market Cap]],Table2[Market Cap],0)</f>
        <v>182</v>
      </c>
      <c r="J183" t="str">
        <f t="shared" si="2"/>
        <v>0-0.5</v>
      </c>
    </row>
    <row r="184" spans="1:10" x14ac:dyDescent="0.3">
      <c r="A184" t="s">
        <v>356</v>
      </c>
      <c r="B184" t="s">
        <v>357</v>
      </c>
      <c r="C184">
        <v>2.075E-4</v>
      </c>
      <c r="D184">
        <v>1.53</v>
      </c>
      <c r="E184">
        <v>4350000</v>
      </c>
      <c r="F184">
        <v>4450</v>
      </c>
      <c r="G184">
        <v>21000000000</v>
      </c>
      <c r="H184">
        <f>Table2[[#This Row],[Volume (24h)]]/Table2[[#This Row],[Circulating Supply]]</f>
        <v>2.1190476190476189E-7</v>
      </c>
      <c r="I184">
        <f>RANK(Table2[[#This Row],[Market Cap]],Table2[Market Cap],0)</f>
        <v>182</v>
      </c>
      <c r="J184" t="str">
        <f t="shared" si="2"/>
        <v>0-0.5</v>
      </c>
    </row>
    <row r="185" spans="1:10" x14ac:dyDescent="0.3">
      <c r="A185" t="s">
        <v>358</v>
      </c>
      <c r="B185" t="s">
        <v>359</v>
      </c>
      <c r="C185">
        <v>592.08000000000004</v>
      </c>
      <c r="D185">
        <v>0.36</v>
      </c>
      <c r="E185">
        <v>4350000</v>
      </c>
      <c r="F185">
        <v>1320000</v>
      </c>
      <c r="G185">
        <v>7350</v>
      </c>
      <c r="H185">
        <f>Table2[[#This Row],[Volume (24h)]]/Table2[[#This Row],[Circulating Supply]]</f>
        <v>179.59183673469389</v>
      </c>
      <c r="I185">
        <f>RANK(Table2[[#This Row],[Market Cap]],Table2[Market Cap],0)</f>
        <v>182</v>
      </c>
      <c r="J185" t="str">
        <f t="shared" si="2"/>
        <v>100-10000</v>
      </c>
    </row>
    <row r="186" spans="1:10" x14ac:dyDescent="0.3">
      <c r="A186" t="s">
        <v>360</v>
      </c>
      <c r="B186" t="s">
        <v>361</v>
      </c>
      <c r="C186">
        <v>8.8850000000000005E-3</v>
      </c>
      <c r="D186">
        <v>0.02</v>
      </c>
      <c r="E186">
        <v>4320000</v>
      </c>
      <c r="F186">
        <v>162880</v>
      </c>
      <c r="G186">
        <v>486200000</v>
      </c>
      <c r="H186">
        <f>Table2[[#This Row],[Volume (24h)]]/Table2[[#This Row],[Circulating Supply]]</f>
        <v>3.3500617030028792E-4</v>
      </c>
      <c r="I186">
        <f>RANK(Table2[[#This Row],[Market Cap]],Table2[Market Cap],0)</f>
        <v>185</v>
      </c>
      <c r="J186" t="str">
        <f t="shared" si="2"/>
        <v>0-0.5</v>
      </c>
    </row>
    <row r="187" spans="1:10" x14ac:dyDescent="0.3">
      <c r="A187" t="s">
        <v>362</v>
      </c>
      <c r="B187" t="s">
        <v>363</v>
      </c>
      <c r="C187">
        <v>4.797E-4</v>
      </c>
      <c r="D187">
        <v>0.37</v>
      </c>
      <c r="E187">
        <v>4310000</v>
      </c>
      <c r="F187">
        <v>239490</v>
      </c>
      <c r="G187">
        <v>8990000000</v>
      </c>
      <c r="H187">
        <f>Table2[[#This Row],[Volume (24h)]]/Table2[[#This Row],[Circulating Supply]]</f>
        <v>2.663959955506118E-5</v>
      </c>
      <c r="I187">
        <f>RANK(Table2[[#This Row],[Market Cap]],Table2[Market Cap],0)</f>
        <v>186</v>
      </c>
      <c r="J187" t="str">
        <f t="shared" si="2"/>
        <v>0-0.5</v>
      </c>
    </row>
    <row r="188" spans="1:10" x14ac:dyDescent="0.3">
      <c r="A188" t="s">
        <v>364</v>
      </c>
      <c r="B188" t="s">
        <v>365</v>
      </c>
      <c r="C188">
        <v>6.5409999999999996E-2</v>
      </c>
      <c r="D188">
        <v>1</v>
      </c>
      <c r="E188">
        <v>4290000</v>
      </c>
      <c r="F188">
        <v>5290</v>
      </c>
      <c r="G188">
        <v>65720000</v>
      </c>
      <c r="H188">
        <f>Table2[[#This Row],[Volume (24h)]]/Table2[[#This Row],[Circulating Supply]]</f>
        <v>8.0493000608642724E-5</v>
      </c>
      <c r="I188">
        <f>RANK(Table2[[#This Row],[Market Cap]],Table2[Market Cap],0)</f>
        <v>187</v>
      </c>
      <c r="J188" t="str">
        <f t="shared" si="2"/>
        <v>0-0.5</v>
      </c>
    </row>
    <row r="189" spans="1:10" x14ac:dyDescent="0.3">
      <c r="A189" t="s">
        <v>366</v>
      </c>
      <c r="B189" t="s">
        <v>367</v>
      </c>
      <c r="C189">
        <v>2.3269999999999999E-5</v>
      </c>
      <c r="D189">
        <v>0</v>
      </c>
      <c r="E189">
        <v>4280000</v>
      </c>
      <c r="G189">
        <v>184060000000</v>
      </c>
      <c r="H189">
        <f>Table2[[#This Row],[Volume (24h)]]/Table2[[#This Row],[Circulating Supply]]</f>
        <v>0</v>
      </c>
      <c r="I189">
        <f>RANK(Table2[[#This Row],[Market Cap]],Table2[Market Cap],0)</f>
        <v>188</v>
      </c>
      <c r="J189" t="str">
        <f t="shared" si="2"/>
        <v>0-0.5</v>
      </c>
    </row>
    <row r="190" spans="1:10" x14ac:dyDescent="0.3">
      <c r="A190" t="s">
        <v>368</v>
      </c>
      <c r="B190" t="s">
        <v>369</v>
      </c>
      <c r="C190">
        <v>1.5399999999999999E-3</v>
      </c>
      <c r="D190">
        <v>0.01</v>
      </c>
      <c r="E190">
        <v>4270000</v>
      </c>
      <c r="F190">
        <v>44.18</v>
      </c>
      <c r="G190">
        <v>2770000000</v>
      </c>
      <c r="H190">
        <f>Table2[[#This Row],[Volume (24h)]]/Table2[[#This Row],[Circulating Supply]]</f>
        <v>1.5949458483754512E-8</v>
      </c>
      <c r="I190">
        <f>RANK(Table2[[#This Row],[Market Cap]],Table2[Market Cap],0)</f>
        <v>189</v>
      </c>
      <c r="J190" t="str">
        <f t="shared" si="2"/>
        <v>0-0.5</v>
      </c>
    </row>
    <row r="191" spans="1:10" x14ac:dyDescent="0.3">
      <c r="A191" t="s">
        <v>370</v>
      </c>
      <c r="B191" t="s">
        <v>370</v>
      </c>
      <c r="C191">
        <v>4.5849999999999997E-3</v>
      </c>
      <c r="D191">
        <v>0.08</v>
      </c>
      <c r="E191">
        <v>4260000</v>
      </c>
      <c r="F191">
        <v>1410000</v>
      </c>
      <c r="G191">
        <v>929610000</v>
      </c>
      <c r="H191">
        <f>Table2[[#This Row],[Volume (24h)]]/Table2[[#This Row],[Circulating Supply]]</f>
        <v>1.5167650950398553E-3</v>
      </c>
      <c r="I191">
        <f>RANK(Table2[[#This Row],[Market Cap]],Table2[Market Cap],0)</f>
        <v>190</v>
      </c>
      <c r="J191" t="str">
        <f t="shared" si="2"/>
        <v>0-0.5</v>
      </c>
    </row>
    <row r="192" spans="1:10" x14ac:dyDescent="0.3">
      <c r="A192" t="s">
        <v>371</v>
      </c>
      <c r="B192" t="s">
        <v>371</v>
      </c>
      <c r="C192">
        <v>1.2409999999999999E-2</v>
      </c>
      <c r="D192">
        <v>0.16</v>
      </c>
      <c r="E192">
        <v>4230000</v>
      </c>
      <c r="F192">
        <v>78790</v>
      </c>
      <c r="G192">
        <v>341170000</v>
      </c>
      <c r="H192">
        <f>Table2[[#This Row],[Volume (24h)]]/Table2[[#This Row],[Circulating Supply]]</f>
        <v>2.3094058680423249E-4</v>
      </c>
      <c r="I192">
        <f>RANK(Table2[[#This Row],[Market Cap]],Table2[Market Cap],0)</f>
        <v>191</v>
      </c>
      <c r="J192" t="str">
        <f t="shared" si="2"/>
        <v>0-0.5</v>
      </c>
    </row>
    <row r="193" spans="1:10" x14ac:dyDescent="0.3">
      <c r="A193" t="s">
        <v>372</v>
      </c>
      <c r="B193" t="s">
        <v>373</v>
      </c>
      <c r="C193">
        <v>5.1229999999999999E-3</v>
      </c>
      <c r="D193">
        <v>0</v>
      </c>
      <c r="E193">
        <v>4220000</v>
      </c>
      <c r="G193">
        <v>824770000</v>
      </c>
      <c r="H193">
        <f>Table2[[#This Row],[Volume (24h)]]/Table2[[#This Row],[Circulating Supply]]</f>
        <v>0</v>
      </c>
      <c r="I193">
        <f>RANK(Table2[[#This Row],[Market Cap]],Table2[Market Cap],0)</f>
        <v>192</v>
      </c>
      <c r="J193" t="str">
        <f t="shared" si="2"/>
        <v>0-0.5</v>
      </c>
    </row>
    <row r="194" spans="1:10" x14ac:dyDescent="0.3">
      <c r="A194" t="s">
        <v>374</v>
      </c>
      <c r="B194" t="s">
        <v>375</v>
      </c>
      <c r="C194">
        <v>2.8570000000000002E-2</v>
      </c>
      <c r="D194">
        <v>0.2</v>
      </c>
      <c r="E194">
        <v>4210000</v>
      </c>
      <c r="F194">
        <v>1130000</v>
      </c>
      <c r="G194">
        <v>147340000</v>
      </c>
      <c r="H194">
        <f>Table2[[#This Row],[Volume (24h)]]/Table2[[#This Row],[Circulating Supply]]</f>
        <v>7.669336229129904E-3</v>
      </c>
      <c r="I194">
        <f>RANK(Table2[[#This Row],[Market Cap]],Table2[Market Cap],0)</f>
        <v>193</v>
      </c>
      <c r="J194" t="str">
        <f t="shared" ref="J194:J257" si="3">IF(C194&lt;=0.5,"0-0.5",
IF(C194&lt;=1,"0.5-1",
IF(C194&lt;=2,"1-2",
IF(C194&lt;=10,"2-10",
IF(C194&lt;=100,"10-100",
IF(C194&lt;=10000,"100-10000",
"10000+"))))))</f>
        <v>0-0.5</v>
      </c>
    </row>
    <row r="195" spans="1:10" x14ac:dyDescent="0.3">
      <c r="A195" t="s">
        <v>376</v>
      </c>
      <c r="B195" t="s">
        <v>377</v>
      </c>
      <c r="C195">
        <v>7.7348E-2</v>
      </c>
      <c r="D195">
        <v>0.13</v>
      </c>
      <c r="E195">
        <v>4200000</v>
      </c>
      <c r="F195">
        <v>838.91</v>
      </c>
      <c r="G195">
        <v>57270000000000</v>
      </c>
      <c r="H195">
        <f>Table2[[#This Row],[Volume (24h)]]/Table2[[#This Row],[Circulating Supply]]</f>
        <v>1.4648332460275885E-11</v>
      </c>
      <c r="I195">
        <f>RANK(Table2[[#This Row],[Market Cap]],Table2[Market Cap],0)</f>
        <v>194</v>
      </c>
      <c r="J195" t="str">
        <f t="shared" si="3"/>
        <v>0-0.5</v>
      </c>
    </row>
    <row r="196" spans="1:10" x14ac:dyDescent="0.3">
      <c r="A196" t="s">
        <v>378</v>
      </c>
      <c r="B196" t="s">
        <v>379</v>
      </c>
      <c r="C196">
        <v>6.0490000000000001E-4</v>
      </c>
      <c r="D196">
        <v>0.4</v>
      </c>
      <c r="E196">
        <v>4200000</v>
      </c>
      <c r="F196">
        <v>1600000</v>
      </c>
      <c r="G196">
        <v>6950000000</v>
      </c>
      <c r="H196">
        <f>Table2[[#This Row],[Volume (24h)]]/Table2[[#This Row],[Circulating Supply]]</f>
        <v>2.3021582733812949E-4</v>
      </c>
      <c r="I196">
        <f>RANK(Table2[[#This Row],[Market Cap]],Table2[Market Cap],0)</f>
        <v>194</v>
      </c>
      <c r="J196" t="str">
        <f t="shared" si="3"/>
        <v>0-0.5</v>
      </c>
    </row>
    <row r="197" spans="1:10" x14ac:dyDescent="0.3">
      <c r="A197" t="s">
        <v>380</v>
      </c>
      <c r="B197" t="s">
        <v>381</v>
      </c>
      <c r="C197">
        <v>0.22889999999999999</v>
      </c>
      <c r="D197">
        <v>5.57</v>
      </c>
      <c r="E197">
        <v>3280000</v>
      </c>
      <c r="F197">
        <v>3170000</v>
      </c>
      <c r="G197">
        <v>14340000</v>
      </c>
      <c r="H197">
        <f>Table2[[#This Row],[Volume (24h)]]/Table2[[#This Row],[Circulating Supply]]</f>
        <v>0.2210599721059972</v>
      </c>
      <c r="I197">
        <f>RANK(Table2[[#This Row],[Market Cap]],Table2[Market Cap],0)</f>
        <v>204</v>
      </c>
      <c r="J197" t="str">
        <f t="shared" si="3"/>
        <v>0-0.5</v>
      </c>
    </row>
    <row r="198" spans="1:10" x14ac:dyDescent="0.3">
      <c r="A198" t="s">
        <v>382</v>
      </c>
      <c r="B198" t="s">
        <v>383</v>
      </c>
      <c r="C198">
        <v>0.22939999999999999</v>
      </c>
      <c r="D198">
        <v>0.11</v>
      </c>
      <c r="E198">
        <v>3310000</v>
      </c>
      <c r="F198">
        <v>3810</v>
      </c>
      <c r="G198">
        <v>14440000</v>
      </c>
      <c r="H198">
        <f>Table2[[#This Row],[Volume (24h)]]/Table2[[#This Row],[Circulating Supply]]</f>
        <v>2.6385041551246535E-4</v>
      </c>
      <c r="I198">
        <f>RANK(Table2[[#This Row],[Market Cap]],Table2[Market Cap],0)</f>
        <v>197</v>
      </c>
      <c r="J198" t="str">
        <f t="shared" si="3"/>
        <v>0-0.5</v>
      </c>
    </row>
    <row r="199" spans="1:10" x14ac:dyDescent="0.3">
      <c r="A199" t="s">
        <v>384</v>
      </c>
      <c r="B199" t="s">
        <v>385</v>
      </c>
      <c r="C199">
        <v>50.02</v>
      </c>
      <c r="D199">
        <v>1.17</v>
      </c>
      <c r="E199">
        <v>3300000</v>
      </c>
      <c r="F199">
        <v>1400000</v>
      </c>
      <c r="G199">
        <v>66140</v>
      </c>
      <c r="H199">
        <f>Table2[[#This Row],[Volume (24h)]]/Table2[[#This Row],[Circulating Supply]]</f>
        <v>21.167221046265496</v>
      </c>
      <c r="I199">
        <f>RANK(Table2[[#This Row],[Market Cap]],Table2[Market Cap],0)</f>
        <v>198</v>
      </c>
      <c r="J199" t="str">
        <f t="shared" si="3"/>
        <v>10-100</v>
      </c>
    </row>
    <row r="200" spans="1:10" x14ac:dyDescent="0.3">
      <c r="A200" t="s">
        <v>386</v>
      </c>
      <c r="B200" t="s">
        <v>387</v>
      </c>
      <c r="C200">
        <v>58.92</v>
      </c>
      <c r="D200">
        <v>0.05</v>
      </c>
      <c r="E200">
        <v>3300000</v>
      </c>
      <c r="F200">
        <v>202940</v>
      </c>
      <c r="G200">
        <v>56090</v>
      </c>
      <c r="H200">
        <f>Table2[[#This Row],[Volume (24h)]]/Table2[[#This Row],[Circulating Supply]]</f>
        <v>3.6181137457657337</v>
      </c>
      <c r="I200">
        <f>RANK(Table2[[#This Row],[Market Cap]],Table2[Market Cap],0)</f>
        <v>198</v>
      </c>
      <c r="J200" t="str">
        <f t="shared" si="3"/>
        <v>10-100</v>
      </c>
    </row>
    <row r="201" spans="1:10" x14ac:dyDescent="0.3">
      <c r="A201" t="s">
        <v>388</v>
      </c>
      <c r="B201" t="s">
        <v>389</v>
      </c>
      <c r="C201">
        <v>3.323E-3</v>
      </c>
      <c r="D201">
        <v>0.11</v>
      </c>
      <c r="E201">
        <v>3290000</v>
      </c>
      <c r="F201">
        <v>8210</v>
      </c>
      <c r="G201">
        <v>992870000</v>
      </c>
      <c r="H201">
        <f>Table2[[#This Row],[Volume (24h)]]/Table2[[#This Row],[Circulating Supply]]</f>
        <v>8.2689576681740806E-6</v>
      </c>
      <c r="I201">
        <f>RANK(Table2[[#This Row],[Market Cap]],Table2[Market Cap],0)</f>
        <v>200</v>
      </c>
      <c r="J201" t="str">
        <f t="shared" si="3"/>
        <v>0-0.5</v>
      </c>
    </row>
    <row r="202" spans="1:10" x14ac:dyDescent="0.3">
      <c r="A202" t="s">
        <v>390</v>
      </c>
      <c r="B202" t="s">
        <v>391</v>
      </c>
      <c r="C202">
        <v>9.7230000000000007E-3</v>
      </c>
      <c r="D202">
        <v>0.12</v>
      </c>
      <c r="E202">
        <v>3290000</v>
      </c>
      <c r="F202">
        <v>92400</v>
      </c>
      <c r="G202">
        <v>339060000</v>
      </c>
      <c r="H202">
        <f>Table2[[#This Row],[Volume (24h)]]/Table2[[#This Row],[Circulating Supply]]</f>
        <v>2.7251813838258715E-4</v>
      </c>
      <c r="I202">
        <f>RANK(Table2[[#This Row],[Market Cap]],Table2[Market Cap],0)</f>
        <v>200</v>
      </c>
      <c r="J202" t="str">
        <f t="shared" si="3"/>
        <v>0-0.5</v>
      </c>
    </row>
    <row r="203" spans="1:10" x14ac:dyDescent="0.3">
      <c r="A203" t="s">
        <v>392</v>
      </c>
      <c r="B203" t="s">
        <v>393</v>
      </c>
      <c r="C203">
        <v>1.6469999999999999E-2</v>
      </c>
      <c r="D203">
        <v>0.87</v>
      </c>
      <c r="E203">
        <v>3290000</v>
      </c>
      <c r="F203">
        <v>515039.99999999988</v>
      </c>
      <c r="G203">
        <v>200000000</v>
      </c>
      <c r="H203">
        <f>Table2[[#This Row],[Volume (24h)]]/Table2[[#This Row],[Circulating Supply]]</f>
        <v>2.5751999999999993E-3</v>
      </c>
      <c r="I203">
        <f>RANK(Table2[[#This Row],[Market Cap]],Table2[Market Cap],0)</f>
        <v>200</v>
      </c>
      <c r="J203" t="str">
        <f t="shared" si="3"/>
        <v>0-0.5</v>
      </c>
    </row>
    <row r="204" spans="1:10" x14ac:dyDescent="0.3">
      <c r="A204" t="s">
        <v>394</v>
      </c>
      <c r="B204" t="s">
        <v>395</v>
      </c>
      <c r="C204">
        <v>0.99980000000000002</v>
      </c>
      <c r="D204">
        <v>0</v>
      </c>
      <c r="E204">
        <v>3290000</v>
      </c>
      <c r="G204">
        <v>3290000</v>
      </c>
      <c r="H204">
        <f>Table2[[#This Row],[Volume (24h)]]/Table2[[#This Row],[Circulating Supply]]</f>
        <v>0</v>
      </c>
      <c r="I204">
        <f>RANK(Table2[[#This Row],[Market Cap]],Table2[Market Cap],0)</f>
        <v>200</v>
      </c>
      <c r="J204" t="str">
        <f t="shared" si="3"/>
        <v>0.5-1</v>
      </c>
    </row>
    <row r="205" spans="1:10" x14ac:dyDescent="0.3">
      <c r="A205" t="s">
        <v>396</v>
      </c>
      <c r="B205" t="s">
        <v>397</v>
      </c>
      <c r="C205">
        <v>123.11</v>
      </c>
      <c r="D205">
        <v>0.16</v>
      </c>
      <c r="E205">
        <v>3280000</v>
      </c>
      <c r="F205">
        <v>1810000</v>
      </c>
      <c r="G205">
        <v>26710</v>
      </c>
      <c r="H205">
        <f>Table2[[#This Row],[Volume (24h)]]/Table2[[#This Row],[Circulating Supply]]</f>
        <v>67.764882066641704</v>
      </c>
      <c r="I205">
        <f>RANK(Table2[[#This Row],[Market Cap]],Table2[Market Cap],0)</f>
        <v>204</v>
      </c>
      <c r="J205" t="str">
        <f t="shared" si="3"/>
        <v>100-10000</v>
      </c>
    </row>
    <row r="206" spans="1:10" x14ac:dyDescent="0.3">
      <c r="A206" t="s">
        <v>398</v>
      </c>
      <c r="B206" t="s">
        <v>399</v>
      </c>
      <c r="C206">
        <v>1.2409999999999999E-3</v>
      </c>
      <c r="D206">
        <v>0.23</v>
      </c>
      <c r="E206">
        <v>3280000</v>
      </c>
      <c r="F206">
        <v>169600</v>
      </c>
      <c r="G206">
        <v>2650000000</v>
      </c>
      <c r="H206">
        <f>Table2[[#This Row],[Volume (24h)]]/Table2[[#This Row],[Circulating Supply]]</f>
        <v>6.3999999999999997E-5</v>
      </c>
      <c r="I206">
        <f>RANK(Table2[[#This Row],[Market Cap]],Table2[Market Cap],0)</f>
        <v>204</v>
      </c>
      <c r="J206" t="str">
        <f t="shared" si="3"/>
        <v>0-0.5</v>
      </c>
    </row>
    <row r="207" spans="1:10" x14ac:dyDescent="0.3">
      <c r="A207" t="s">
        <v>400</v>
      </c>
      <c r="B207" t="s">
        <v>400</v>
      </c>
      <c r="C207">
        <v>1.6039999999999999E-2</v>
      </c>
      <c r="D207">
        <v>0.09</v>
      </c>
      <c r="E207">
        <v>3280000</v>
      </c>
      <c r="F207">
        <v>455660</v>
      </c>
      <c r="G207">
        <v>204830000</v>
      </c>
      <c r="H207">
        <f>Table2[[#This Row],[Volume (24h)]]/Table2[[#This Row],[Circulating Supply]]</f>
        <v>2.2245764780549726E-3</v>
      </c>
      <c r="I207">
        <f>RANK(Table2[[#This Row],[Market Cap]],Table2[Market Cap],0)</f>
        <v>204</v>
      </c>
      <c r="J207" t="str">
        <f t="shared" si="3"/>
        <v>0-0.5</v>
      </c>
    </row>
    <row r="208" spans="1:10" x14ac:dyDescent="0.3">
      <c r="A208" t="s">
        <v>401</v>
      </c>
      <c r="B208" t="s">
        <v>402</v>
      </c>
      <c r="C208">
        <v>5.4860000000000004E-3</v>
      </c>
      <c r="D208">
        <v>0.34</v>
      </c>
      <c r="E208">
        <v>3280000</v>
      </c>
      <c r="F208">
        <v>148500</v>
      </c>
      <c r="G208">
        <v>598860000</v>
      </c>
      <c r="H208">
        <f>Table2[[#This Row],[Volume (24h)]]/Table2[[#This Row],[Circulating Supply]]</f>
        <v>2.4797114517583407E-4</v>
      </c>
      <c r="I208">
        <f>RANK(Table2[[#This Row],[Market Cap]],Table2[Market Cap],0)</f>
        <v>204</v>
      </c>
      <c r="J208" t="str">
        <f t="shared" si="3"/>
        <v>0-0.5</v>
      </c>
    </row>
    <row r="209" spans="1:10" x14ac:dyDescent="0.3">
      <c r="A209" t="s">
        <v>403</v>
      </c>
      <c r="B209" t="s">
        <v>404</v>
      </c>
      <c r="C209">
        <v>479.08</v>
      </c>
      <c r="D209">
        <v>0.3</v>
      </c>
      <c r="E209">
        <v>3280000</v>
      </c>
      <c r="F209">
        <v>4740000</v>
      </c>
      <c r="G209">
        <v>6840</v>
      </c>
      <c r="H209">
        <f>Table2[[#This Row],[Volume (24h)]]/Table2[[#This Row],[Circulating Supply]]</f>
        <v>692.98245614035091</v>
      </c>
      <c r="I209">
        <f>RANK(Table2[[#This Row],[Market Cap]],Table2[Market Cap],0)</f>
        <v>204</v>
      </c>
      <c r="J209" t="str">
        <f t="shared" si="3"/>
        <v>100-10000</v>
      </c>
    </row>
    <row r="210" spans="1:10" x14ac:dyDescent="0.3">
      <c r="A210" t="s">
        <v>405</v>
      </c>
      <c r="B210" t="s">
        <v>406</v>
      </c>
      <c r="C210">
        <v>8.9829999999999999E-4</v>
      </c>
      <c r="D210">
        <v>3.85</v>
      </c>
      <c r="E210">
        <v>3360000</v>
      </c>
      <c r="F210">
        <v>441790</v>
      </c>
      <c r="G210">
        <v>3740000000</v>
      </c>
      <c r="H210">
        <f>Table2[[#This Row],[Volume (24h)]]/Table2[[#This Row],[Circulating Supply]]</f>
        <v>1.1812566844919786E-4</v>
      </c>
      <c r="I210">
        <f>RANK(Table2[[#This Row],[Market Cap]],Table2[Market Cap],0)</f>
        <v>196</v>
      </c>
      <c r="J210" t="str">
        <f t="shared" si="3"/>
        <v>0-0.5</v>
      </c>
    </row>
    <row r="211" spans="1:10" x14ac:dyDescent="0.3">
      <c r="A211" t="s">
        <v>407</v>
      </c>
      <c r="B211" t="s">
        <v>408</v>
      </c>
      <c r="C211">
        <v>5.7838000000000001E-2</v>
      </c>
      <c r="D211">
        <v>0.21</v>
      </c>
      <c r="E211">
        <v>3270000</v>
      </c>
      <c r="F211">
        <v>218630</v>
      </c>
      <c r="G211">
        <v>417210000000</v>
      </c>
      <c r="H211">
        <f>Table2[[#This Row],[Volume (24h)]]/Table2[[#This Row],[Circulating Supply]]</f>
        <v>5.2402866661872919E-7</v>
      </c>
      <c r="I211">
        <f>RANK(Table2[[#This Row],[Market Cap]],Table2[Market Cap],0)</f>
        <v>210</v>
      </c>
      <c r="J211" t="str">
        <f t="shared" si="3"/>
        <v>0-0.5</v>
      </c>
    </row>
    <row r="212" spans="1:10" x14ac:dyDescent="0.3">
      <c r="A212" t="s">
        <v>409</v>
      </c>
      <c r="B212" t="s">
        <v>410</v>
      </c>
      <c r="C212">
        <v>8.6289000000000005E-2</v>
      </c>
      <c r="D212">
        <v>0.98</v>
      </c>
      <c r="E212">
        <v>2640000</v>
      </c>
      <c r="F212">
        <v>30710</v>
      </c>
      <c r="G212">
        <v>420680000000000</v>
      </c>
      <c r="H212">
        <f>Table2[[#This Row],[Volume (24h)]]/Table2[[#This Row],[Circulating Supply]]</f>
        <v>7.3000855757345245E-11</v>
      </c>
      <c r="I212">
        <f>RANK(Table2[[#This Row],[Market Cap]],Table2[Market Cap],0)</f>
        <v>211</v>
      </c>
      <c r="J212" t="str">
        <f t="shared" si="3"/>
        <v>0-0.5</v>
      </c>
    </row>
    <row r="213" spans="1:10" x14ac:dyDescent="0.3">
      <c r="A213" t="s">
        <v>411</v>
      </c>
      <c r="B213" t="s">
        <v>412</v>
      </c>
      <c r="C213">
        <v>3.9560000000000003E-3</v>
      </c>
      <c r="D213">
        <v>0.01</v>
      </c>
      <c r="E213">
        <v>2620000</v>
      </c>
      <c r="F213">
        <v>4330</v>
      </c>
      <c r="G213">
        <v>664040000</v>
      </c>
      <c r="H213">
        <f>Table2[[#This Row],[Volume (24h)]]/Table2[[#This Row],[Circulating Supply]]</f>
        <v>6.520691524606951E-6</v>
      </c>
      <c r="I213">
        <f>RANK(Table2[[#This Row],[Market Cap]],Table2[Market Cap],0)</f>
        <v>212</v>
      </c>
      <c r="J213" t="str">
        <f t="shared" si="3"/>
        <v>0-0.5</v>
      </c>
    </row>
    <row r="214" spans="1:10" x14ac:dyDescent="0.3">
      <c r="A214" t="s">
        <v>413</v>
      </c>
      <c r="B214" t="s">
        <v>413</v>
      </c>
      <c r="C214">
        <v>1.8370000000000001E-3</v>
      </c>
      <c r="D214">
        <v>0.35</v>
      </c>
      <c r="E214">
        <v>2620000</v>
      </c>
      <c r="F214">
        <v>279310</v>
      </c>
      <c r="G214">
        <v>1420000000</v>
      </c>
      <c r="H214">
        <f>Table2[[#This Row],[Volume (24h)]]/Table2[[#This Row],[Circulating Supply]]</f>
        <v>1.9669718309859154E-4</v>
      </c>
      <c r="I214">
        <f>RANK(Table2[[#This Row],[Market Cap]],Table2[Market Cap],0)</f>
        <v>212</v>
      </c>
      <c r="J214" t="str">
        <f t="shared" si="3"/>
        <v>0-0.5</v>
      </c>
    </row>
    <row r="215" spans="1:10" x14ac:dyDescent="0.3">
      <c r="A215" t="s">
        <v>414</v>
      </c>
      <c r="B215" t="s">
        <v>415</v>
      </c>
      <c r="C215">
        <v>2.7140000000000001E-2</v>
      </c>
      <c r="D215">
        <v>0.48</v>
      </c>
      <c r="E215">
        <v>2610000</v>
      </c>
      <c r="F215">
        <v>14640</v>
      </c>
      <c r="G215">
        <v>96190000</v>
      </c>
      <c r="H215">
        <f>Table2[[#This Row],[Volume (24h)]]/Table2[[#This Row],[Circulating Supply]]</f>
        <v>1.5219877326125376E-4</v>
      </c>
      <c r="I215">
        <f>RANK(Table2[[#This Row],[Market Cap]],Table2[Market Cap],0)</f>
        <v>214</v>
      </c>
      <c r="J215" t="str">
        <f t="shared" si="3"/>
        <v>0-0.5</v>
      </c>
    </row>
    <row r="216" spans="1:10" x14ac:dyDescent="0.3">
      <c r="A216" t="s">
        <v>416</v>
      </c>
      <c r="B216" t="s">
        <v>417</v>
      </c>
      <c r="C216">
        <v>2.222E-2</v>
      </c>
      <c r="D216">
        <v>0.09</v>
      </c>
      <c r="E216">
        <v>2600000</v>
      </c>
      <c r="F216">
        <v>187120</v>
      </c>
      <c r="G216">
        <v>117180000</v>
      </c>
      <c r="H216">
        <f>Table2[[#This Row],[Volume (24h)]]/Table2[[#This Row],[Circulating Supply]]</f>
        <v>1.5968595323434033E-3</v>
      </c>
      <c r="I216">
        <f>RANK(Table2[[#This Row],[Market Cap]],Table2[Market Cap],0)</f>
        <v>215</v>
      </c>
      <c r="J216" t="str">
        <f t="shared" si="3"/>
        <v>0-0.5</v>
      </c>
    </row>
    <row r="217" spans="1:10" x14ac:dyDescent="0.3">
      <c r="A217" t="s">
        <v>418</v>
      </c>
      <c r="B217" t="s">
        <v>419</v>
      </c>
      <c r="C217">
        <v>554.79999999999995</v>
      </c>
      <c r="D217">
        <v>0.08</v>
      </c>
      <c r="E217">
        <v>2590000</v>
      </c>
      <c r="F217">
        <v>155200</v>
      </c>
      <c r="G217">
        <v>4680</v>
      </c>
      <c r="H217">
        <f>Table2[[#This Row],[Volume (24h)]]/Table2[[#This Row],[Circulating Supply]]</f>
        <v>33.162393162393165</v>
      </c>
      <c r="I217">
        <f>RANK(Table2[[#This Row],[Market Cap]],Table2[Market Cap],0)</f>
        <v>216</v>
      </c>
      <c r="J217" t="str">
        <f t="shared" si="3"/>
        <v>100-10000</v>
      </c>
    </row>
    <row r="218" spans="1:10" x14ac:dyDescent="0.3">
      <c r="A218" t="s">
        <v>420</v>
      </c>
      <c r="B218" t="s">
        <v>421</v>
      </c>
      <c r="C218">
        <v>1.3220000000000001E-2</v>
      </c>
      <c r="D218">
        <v>0.04</v>
      </c>
      <c r="E218">
        <v>2580000</v>
      </c>
      <c r="F218">
        <v>1130</v>
      </c>
      <c r="G218">
        <v>195420000</v>
      </c>
      <c r="H218">
        <f>Table2[[#This Row],[Volume (24h)]]/Table2[[#This Row],[Circulating Supply]]</f>
        <v>5.7824173574864392E-6</v>
      </c>
      <c r="I218">
        <f>RANK(Table2[[#This Row],[Market Cap]],Table2[Market Cap],0)</f>
        <v>217</v>
      </c>
      <c r="J218" t="str">
        <f t="shared" si="3"/>
        <v>0-0.5</v>
      </c>
    </row>
    <row r="219" spans="1:10" x14ac:dyDescent="0.3">
      <c r="A219" t="s">
        <v>422</v>
      </c>
      <c r="B219" t="s">
        <v>422</v>
      </c>
      <c r="C219">
        <v>7.4700000000000001E-3</v>
      </c>
      <c r="D219">
        <v>0.05</v>
      </c>
      <c r="E219">
        <v>2570000</v>
      </c>
      <c r="F219">
        <v>430670</v>
      </c>
      <c r="G219">
        <v>344850000</v>
      </c>
      <c r="H219">
        <f>Table2[[#This Row],[Volume (24h)]]/Table2[[#This Row],[Circulating Supply]]</f>
        <v>1.2488618239814412E-3</v>
      </c>
      <c r="I219">
        <f>RANK(Table2[[#This Row],[Market Cap]],Table2[Market Cap],0)</f>
        <v>218</v>
      </c>
      <c r="J219" t="str">
        <f t="shared" si="3"/>
        <v>0-0.5</v>
      </c>
    </row>
    <row r="220" spans="1:10" x14ac:dyDescent="0.3">
      <c r="A220" t="s">
        <v>423</v>
      </c>
      <c r="B220" t="s">
        <v>423</v>
      </c>
      <c r="C220">
        <v>2.248E-2</v>
      </c>
      <c r="D220">
        <v>0.28000000000000003</v>
      </c>
      <c r="E220">
        <v>2570000</v>
      </c>
      <c r="F220">
        <v>112920</v>
      </c>
      <c r="G220">
        <v>114350000</v>
      </c>
      <c r="H220">
        <f>Table2[[#This Row],[Volume (24h)]]/Table2[[#This Row],[Circulating Supply]]</f>
        <v>9.8749453432444255E-4</v>
      </c>
      <c r="I220">
        <f>RANK(Table2[[#This Row],[Market Cap]],Table2[Market Cap],0)</f>
        <v>218</v>
      </c>
      <c r="J220" t="str">
        <f t="shared" si="3"/>
        <v>0-0.5</v>
      </c>
    </row>
    <row r="221" spans="1:10" x14ac:dyDescent="0.3">
      <c r="A221" t="s">
        <v>424</v>
      </c>
      <c r="B221" t="s">
        <v>424</v>
      </c>
      <c r="C221">
        <v>3.2399999999999998E-3</v>
      </c>
      <c r="D221">
        <v>0.32</v>
      </c>
      <c r="E221">
        <v>2560000</v>
      </c>
      <c r="F221">
        <v>445.59</v>
      </c>
      <c r="G221">
        <v>792550000</v>
      </c>
      <c r="H221">
        <f>Table2[[#This Row],[Volume (24h)]]/Table2[[#This Row],[Circulating Supply]]</f>
        <v>5.6222320358337011E-7</v>
      </c>
      <c r="I221">
        <f>RANK(Table2[[#This Row],[Market Cap]],Table2[Market Cap],0)</f>
        <v>220</v>
      </c>
      <c r="J221" t="str">
        <f t="shared" si="3"/>
        <v>0-0.5</v>
      </c>
    </row>
    <row r="222" spans="1:10" x14ac:dyDescent="0.3">
      <c r="A222" t="s">
        <v>425</v>
      </c>
      <c r="B222" t="s">
        <v>426</v>
      </c>
      <c r="C222">
        <v>9.5829999999999995E-3</v>
      </c>
      <c r="D222">
        <v>2.42</v>
      </c>
      <c r="E222">
        <v>2550000</v>
      </c>
      <c r="F222">
        <v>156510</v>
      </c>
      <c r="G222">
        <v>266770000</v>
      </c>
      <c r="H222">
        <f>Table2[[#This Row],[Volume (24h)]]/Table2[[#This Row],[Circulating Supply]]</f>
        <v>5.8668515950069345E-4</v>
      </c>
      <c r="I222">
        <f>RANK(Table2[[#This Row],[Market Cap]],Table2[Market Cap],0)</f>
        <v>221</v>
      </c>
      <c r="J222" t="str">
        <f t="shared" si="3"/>
        <v>0-0.5</v>
      </c>
    </row>
    <row r="223" spans="1:10" x14ac:dyDescent="0.3">
      <c r="A223" t="s">
        <v>427</v>
      </c>
      <c r="B223" t="s">
        <v>428</v>
      </c>
      <c r="C223">
        <v>4.2739999999999998E-4</v>
      </c>
      <c r="D223">
        <v>0.26</v>
      </c>
      <c r="E223">
        <v>2540000</v>
      </c>
      <c r="F223">
        <v>13730</v>
      </c>
      <c r="G223">
        <v>5960000000</v>
      </c>
      <c r="H223">
        <f>Table2[[#This Row],[Volume (24h)]]/Table2[[#This Row],[Circulating Supply]]</f>
        <v>2.3036912751677852E-6</v>
      </c>
      <c r="I223">
        <f>RANK(Table2[[#This Row],[Market Cap]],Table2[Market Cap],0)</f>
        <v>222</v>
      </c>
      <c r="J223" t="str">
        <f t="shared" si="3"/>
        <v>0-0.5</v>
      </c>
    </row>
    <row r="224" spans="1:10" x14ac:dyDescent="0.3">
      <c r="A224" t="s">
        <v>429</v>
      </c>
      <c r="B224" t="s">
        <v>430</v>
      </c>
      <c r="C224">
        <v>1.7700000000000001E-3</v>
      </c>
      <c r="D224">
        <v>0.52</v>
      </c>
      <c r="E224">
        <v>2540000</v>
      </c>
      <c r="F224">
        <v>23360</v>
      </c>
      <c r="G224">
        <v>1430000000</v>
      </c>
      <c r="H224">
        <f>Table2[[#This Row],[Volume (24h)]]/Table2[[#This Row],[Circulating Supply]]</f>
        <v>1.6335664335664336E-5</v>
      </c>
      <c r="I224">
        <f>RANK(Table2[[#This Row],[Market Cap]],Table2[Market Cap],0)</f>
        <v>222</v>
      </c>
      <c r="J224" t="str">
        <f t="shared" si="3"/>
        <v>0-0.5</v>
      </c>
    </row>
    <row r="225" spans="1:10" x14ac:dyDescent="0.3">
      <c r="A225" t="s">
        <v>431</v>
      </c>
      <c r="B225" t="s">
        <v>432</v>
      </c>
      <c r="C225">
        <v>0.25609999999999999</v>
      </c>
      <c r="D225">
        <v>0.04</v>
      </c>
      <c r="E225">
        <v>2540000</v>
      </c>
      <c r="F225">
        <v>109700</v>
      </c>
      <c r="G225">
        <v>9930000</v>
      </c>
      <c r="H225">
        <f>Table2[[#This Row],[Volume (24h)]]/Table2[[#This Row],[Circulating Supply]]</f>
        <v>1.1047331319234643E-2</v>
      </c>
      <c r="I225">
        <f>RANK(Table2[[#This Row],[Market Cap]],Table2[Market Cap],0)</f>
        <v>222</v>
      </c>
      <c r="J225" t="str">
        <f t="shared" si="3"/>
        <v>0-0.5</v>
      </c>
    </row>
    <row r="226" spans="1:10" x14ac:dyDescent="0.3">
      <c r="A226" t="s">
        <v>433</v>
      </c>
      <c r="B226" t="s">
        <v>434</v>
      </c>
      <c r="C226">
        <v>4.1340000000000002E-2</v>
      </c>
      <c r="D226">
        <v>0</v>
      </c>
      <c r="E226">
        <v>2540000</v>
      </c>
      <c r="F226">
        <v>8440</v>
      </c>
      <c r="G226">
        <v>61480000</v>
      </c>
      <c r="H226">
        <f>Table2[[#This Row],[Volume (24h)]]/Table2[[#This Row],[Circulating Supply]]</f>
        <v>1.372804163955758E-4</v>
      </c>
      <c r="I226">
        <f>RANK(Table2[[#This Row],[Market Cap]],Table2[Market Cap],0)</f>
        <v>222</v>
      </c>
      <c r="J226" t="str">
        <f t="shared" si="3"/>
        <v>0-0.5</v>
      </c>
    </row>
    <row r="227" spans="1:10" x14ac:dyDescent="0.3">
      <c r="A227" t="s">
        <v>435</v>
      </c>
      <c r="B227" t="s">
        <v>436</v>
      </c>
      <c r="C227">
        <v>2.0470000000000002E-3</v>
      </c>
      <c r="D227">
        <v>0.52</v>
      </c>
      <c r="E227">
        <v>2040000</v>
      </c>
      <c r="F227">
        <v>159560</v>
      </c>
      <c r="G227">
        <v>999970000</v>
      </c>
      <c r="H227">
        <f>Table2[[#This Row],[Volume (24h)]]/Table2[[#This Row],[Circulating Supply]]</f>
        <v>1.5956478694360832E-4</v>
      </c>
      <c r="I227">
        <f>RANK(Table2[[#This Row],[Market Cap]],Table2[Market Cap],0)</f>
        <v>226</v>
      </c>
      <c r="J227" t="str">
        <f t="shared" si="3"/>
        <v>0-0.5</v>
      </c>
    </row>
    <row r="228" spans="1:10" x14ac:dyDescent="0.3">
      <c r="A228" t="s">
        <v>437</v>
      </c>
      <c r="B228" t="s">
        <v>438</v>
      </c>
      <c r="C228">
        <v>9.937E-2</v>
      </c>
      <c r="D228">
        <v>1.25</v>
      </c>
      <c r="E228">
        <v>2040000</v>
      </c>
      <c r="F228">
        <v>242970</v>
      </c>
      <c r="G228">
        <v>20580000</v>
      </c>
      <c r="H228">
        <f>Table2[[#This Row],[Volume (24h)]]/Table2[[#This Row],[Circulating Supply]]</f>
        <v>1.1806122448979592E-2</v>
      </c>
      <c r="I228">
        <f>RANK(Table2[[#This Row],[Market Cap]],Table2[Market Cap],0)</f>
        <v>226</v>
      </c>
      <c r="J228" t="str">
        <f t="shared" si="3"/>
        <v>0-0.5</v>
      </c>
    </row>
    <row r="229" spans="1:10" x14ac:dyDescent="0.3">
      <c r="A229" t="s">
        <v>439</v>
      </c>
      <c r="B229" t="s">
        <v>440</v>
      </c>
      <c r="C229">
        <v>404.09</v>
      </c>
      <c r="D229">
        <v>0.04</v>
      </c>
      <c r="E229">
        <v>2040000</v>
      </c>
      <c r="F229">
        <v>171250</v>
      </c>
      <c r="G229">
        <v>5050</v>
      </c>
      <c r="H229">
        <f>Table2[[#This Row],[Volume (24h)]]/Table2[[#This Row],[Circulating Supply]]</f>
        <v>33.910891089108908</v>
      </c>
      <c r="I229">
        <f>RANK(Table2[[#This Row],[Market Cap]],Table2[Market Cap],0)</f>
        <v>226</v>
      </c>
      <c r="J229" t="str">
        <f t="shared" si="3"/>
        <v>100-10000</v>
      </c>
    </row>
    <row r="230" spans="1:10" x14ac:dyDescent="0.3">
      <c r="A230" t="s">
        <v>441</v>
      </c>
      <c r="B230" t="s">
        <v>442</v>
      </c>
      <c r="C230">
        <v>59.16</v>
      </c>
      <c r="D230">
        <v>2.37</v>
      </c>
      <c r="E230">
        <v>2030000</v>
      </c>
      <c r="F230">
        <v>6720000</v>
      </c>
      <c r="G230">
        <v>34460</v>
      </c>
      <c r="H230">
        <f>Table2[[#This Row],[Volume (24h)]]/Table2[[#This Row],[Circulating Supply]]</f>
        <v>195.00870574579221</v>
      </c>
      <c r="I230">
        <f>RANK(Table2[[#This Row],[Market Cap]],Table2[Market Cap],0)</f>
        <v>229</v>
      </c>
      <c r="J230" t="str">
        <f t="shared" si="3"/>
        <v>10-100</v>
      </c>
    </row>
    <row r="231" spans="1:10" x14ac:dyDescent="0.3">
      <c r="A231" t="s">
        <v>443</v>
      </c>
      <c r="B231" t="s">
        <v>444</v>
      </c>
      <c r="C231">
        <v>64.08</v>
      </c>
      <c r="D231">
        <v>0.61</v>
      </c>
      <c r="E231">
        <v>2030000</v>
      </c>
      <c r="F231">
        <v>1760000</v>
      </c>
      <c r="G231">
        <v>31780</v>
      </c>
      <c r="H231">
        <f>Table2[[#This Row],[Volume (24h)]]/Table2[[#This Row],[Circulating Supply]]</f>
        <v>55.380742605412209</v>
      </c>
      <c r="I231">
        <f>RANK(Table2[[#This Row],[Market Cap]],Table2[Market Cap],0)</f>
        <v>229</v>
      </c>
      <c r="J231" t="str">
        <f t="shared" si="3"/>
        <v>10-100</v>
      </c>
    </row>
    <row r="232" spans="1:10" x14ac:dyDescent="0.3">
      <c r="A232" t="s">
        <v>445</v>
      </c>
      <c r="B232" t="s">
        <v>446</v>
      </c>
      <c r="C232">
        <v>2.2469999999999999E-3</v>
      </c>
      <c r="D232">
        <v>0.47</v>
      </c>
      <c r="E232">
        <v>2030000</v>
      </c>
      <c r="F232">
        <v>185590</v>
      </c>
      <c r="G232">
        <v>904010000</v>
      </c>
      <c r="H232">
        <f>Table2[[#This Row],[Volume (24h)]]/Table2[[#This Row],[Circulating Supply]]</f>
        <v>2.0529640158847801E-4</v>
      </c>
      <c r="I232">
        <f>RANK(Table2[[#This Row],[Market Cap]],Table2[Market Cap],0)</f>
        <v>229</v>
      </c>
      <c r="J232" t="str">
        <f t="shared" si="3"/>
        <v>0-0.5</v>
      </c>
    </row>
    <row r="233" spans="1:10" x14ac:dyDescent="0.3">
      <c r="A233" t="s">
        <v>447</v>
      </c>
      <c r="B233" t="s">
        <v>448</v>
      </c>
      <c r="C233">
        <v>121.88</v>
      </c>
      <c r="D233">
        <v>0.18</v>
      </c>
      <c r="E233">
        <v>2020000</v>
      </c>
      <c r="F233">
        <v>1290000</v>
      </c>
      <c r="G233">
        <v>16590</v>
      </c>
      <c r="H233">
        <f>Table2[[#This Row],[Volume (24h)]]/Table2[[#This Row],[Circulating Supply]]</f>
        <v>77.757685352622062</v>
      </c>
      <c r="I233">
        <f>RANK(Table2[[#This Row],[Market Cap]],Table2[Market Cap],0)</f>
        <v>232</v>
      </c>
      <c r="J233" t="str">
        <f t="shared" si="3"/>
        <v>100-10000</v>
      </c>
    </row>
    <row r="234" spans="1:10" x14ac:dyDescent="0.3">
      <c r="A234" t="s">
        <v>449</v>
      </c>
      <c r="B234" t="s">
        <v>450</v>
      </c>
      <c r="C234">
        <v>147.44</v>
      </c>
      <c r="D234">
        <v>0.16</v>
      </c>
      <c r="E234">
        <v>2020000</v>
      </c>
      <c r="F234">
        <v>1640000</v>
      </c>
      <c r="G234">
        <v>13710</v>
      </c>
      <c r="H234">
        <f>Table2[[#This Row],[Volume (24h)]]/Table2[[#This Row],[Circulating Supply]]</f>
        <v>119.62071480671042</v>
      </c>
      <c r="I234">
        <f>RANK(Table2[[#This Row],[Market Cap]],Table2[Market Cap],0)</f>
        <v>232</v>
      </c>
      <c r="J234" t="str">
        <f t="shared" si="3"/>
        <v>100-10000</v>
      </c>
    </row>
    <row r="235" spans="1:10" x14ac:dyDescent="0.3">
      <c r="A235" t="s">
        <v>451</v>
      </c>
      <c r="B235" t="s">
        <v>452</v>
      </c>
      <c r="C235">
        <v>7.8100000000000001E-3</v>
      </c>
      <c r="D235">
        <v>0.13</v>
      </c>
      <c r="E235">
        <v>2010000</v>
      </c>
      <c r="F235">
        <v>64330</v>
      </c>
      <c r="G235">
        <v>257950000</v>
      </c>
      <c r="H235">
        <f>Table2[[#This Row],[Volume (24h)]]/Table2[[#This Row],[Circulating Supply]]</f>
        <v>2.4938941655359563E-4</v>
      </c>
      <c r="I235">
        <f>RANK(Table2[[#This Row],[Market Cap]],Table2[Market Cap],0)</f>
        <v>234</v>
      </c>
      <c r="J235" t="str">
        <f t="shared" si="3"/>
        <v>0-0.5</v>
      </c>
    </row>
    <row r="236" spans="1:10" x14ac:dyDescent="0.3">
      <c r="A236" t="s">
        <v>453</v>
      </c>
      <c r="B236" t="s">
        <v>454</v>
      </c>
      <c r="C236">
        <v>1.9570000000000001E-4</v>
      </c>
      <c r="D236">
        <v>1.75</v>
      </c>
      <c r="E236">
        <v>2000000</v>
      </c>
      <c r="F236">
        <v>8870</v>
      </c>
      <c r="G236">
        <v>10260000000</v>
      </c>
      <c r="H236">
        <f>Table2[[#This Row],[Volume (24h)]]/Table2[[#This Row],[Circulating Supply]]</f>
        <v>8.6452241715399614E-7</v>
      </c>
      <c r="I236">
        <f>RANK(Table2[[#This Row],[Market Cap]],Table2[Market Cap],0)</f>
        <v>235</v>
      </c>
      <c r="J236" t="str">
        <f t="shared" si="3"/>
        <v>0-0.5</v>
      </c>
    </row>
    <row r="237" spans="1:10" x14ac:dyDescent="0.3">
      <c r="A237" t="s">
        <v>455</v>
      </c>
      <c r="B237" t="s">
        <v>455</v>
      </c>
      <c r="C237">
        <v>6.6740000000000002E-3</v>
      </c>
      <c r="D237">
        <v>0</v>
      </c>
      <c r="E237">
        <v>2000000</v>
      </c>
      <c r="G237">
        <v>299980000</v>
      </c>
      <c r="H237">
        <f>Table2[[#This Row],[Volume (24h)]]/Table2[[#This Row],[Circulating Supply]]</f>
        <v>0</v>
      </c>
      <c r="I237">
        <f>RANK(Table2[[#This Row],[Market Cap]],Table2[Market Cap],0)</f>
        <v>235</v>
      </c>
      <c r="J237" t="str">
        <f t="shared" si="3"/>
        <v>0-0.5</v>
      </c>
    </row>
    <row r="238" spans="1:10" x14ac:dyDescent="0.3">
      <c r="A238" t="s">
        <v>456</v>
      </c>
      <c r="B238" t="s">
        <v>457</v>
      </c>
      <c r="C238">
        <v>7.4410000000000003E-4</v>
      </c>
      <c r="D238">
        <v>0.67</v>
      </c>
      <c r="E238">
        <v>1990000</v>
      </c>
      <c r="F238">
        <v>75080</v>
      </c>
      <c r="G238">
        <v>2680000000</v>
      </c>
      <c r="H238">
        <f>Table2[[#This Row],[Volume (24h)]]/Table2[[#This Row],[Circulating Supply]]</f>
        <v>2.8014925373134327E-5</v>
      </c>
      <c r="I238">
        <f>RANK(Table2[[#This Row],[Market Cap]],Table2[Market Cap],0)</f>
        <v>237</v>
      </c>
      <c r="J238" t="str">
        <f t="shared" si="3"/>
        <v>0-0.5</v>
      </c>
    </row>
    <row r="239" spans="1:10" x14ac:dyDescent="0.3">
      <c r="A239" t="s">
        <v>458</v>
      </c>
      <c r="B239" t="s">
        <v>459</v>
      </c>
      <c r="C239">
        <v>7.1318000000000006E-2</v>
      </c>
      <c r="D239">
        <v>1.29</v>
      </c>
      <c r="E239">
        <v>1990000</v>
      </c>
      <c r="F239">
        <v>2500</v>
      </c>
      <c r="G239">
        <v>151420000000000</v>
      </c>
      <c r="H239">
        <f>Table2[[#This Row],[Volume (24h)]]/Table2[[#This Row],[Circulating Supply]]</f>
        <v>1.6510368511425176E-11</v>
      </c>
      <c r="I239">
        <f>RANK(Table2[[#This Row],[Market Cap]],Table2[Market Cap],0)</f>
        <v>237</v>
      </c>
      <c r="J239" t="str">
        <f t="shared" si="3"/>
        <v>0-0.5</v>
      </c>
    </row>
    <row r="240" spans="1:10" x14ac:dyDescent="0.3">
      <c r="A240" t="s">
        <v>460</v>
      </c>
      <c r="B240" t="s">
        <v>461</v>
      </c>
      <c r="C240">
        <v>2.541E-4</v>
      </c>
      <c r="D240">
        <v>1.92</v>
      </c>
      <c r="E240">
        <v>1980000</v>
      </c>
      <c r="F240">
        <v>100520</v>
      </c>
      <c r="G240">
        <v>7800000000</v>
      </c>
      <c r="H240">
        <f>Table2[[#This Row],[Volume (24h)]]/Table2[[#This Row],[Circulating Supply]]</f>
        <v>1.2887179487179487E-5</v>
      </c>
      <c r="I240">
        <f>RANK(Table2[[#This Row],[Market Cap]],Table2[Market Cap],0)</f>
        <v>239</v>
      </c>
      <c r="J240" t="str">
        <f t="shared" si="3"/>
        <v>0-0.5</v>
      </c>
    </row>
    <row r="241" spans="1:10" x14ac:dyDescent="0.3">
      <c r="A241" t="s">
        <v>462</v>
      </c>
      <c r="B241" t="s">
        <v>462</v>
      </c>
      <c r="C241">
        <v>2.5559999999999999E-5</v>
      </c>
      <c r="D241">
        <v>0.36</v>
      </c>
      <c r="E241">
        <v>1980000</v>
      </c>
      <c r="F241">
        <v>826.89</v>
      </c>
      <c r="G241">
        <v>77570000000</v>
      </c>
      <c r="H241">
        <f>Table2[[#This Row],[Volume (24h)]]/Table2[[#This Row],[Circulating Supply]]</f>
        <v>1.0659920072192858E-8</v>
      </c>
      <c r="I241">
        <f>RANK(Table2[[#This Row],[Market Cap]],Table2[Market Cap],0)</f>
        <v>239</v>
      </c>
      <c r="J241" t="str">
        <f t="shared" si="3"/>
        <v>0-0.5</v>
      </c>
    </row>
    <row r="242" spans="1:10" x14ac:dyDescent="0.3">
      <c r="A242" t="s">
        <v>463</v>
      </c>
      <c r="B242" t="s">
        <v>464</v>
      </c>
      <c r="C242">
        <v>1.6209999999999999E-2</v>
      </c>
      <c r="D242">
        <v>2.2599999999999998</v>
      </c>
      <c r="E242">
        <v>1620000</v>
      </c>
      <c r="F242">
        <v>335.35</v>
      </c>
      <c r="G242">
        <v>100000000</v>
      </c>
      <c r="H242">
        <f>Table2[[#This Row],[Volume (24h)]]/Table2[[#This Row],[Circulating Supply]]</f>
        <v>3.3535000000000002E-6</v>
      </c>
      <c r="I242">
        <f>RANK(Table2[[#This Row],[Market Cap]],Table2[Market Cap],0)</f>
        <v>241</v>
      </c>
      <c r="J242" t="str">
        <f t="shared" si="3"/>
        <v>0-0.5</v>
      </c>
    </row>
    <row r="243" spans="1:10" x14ac:dyDescent="0.3">
      <c r="A243" t="s">
        <v>465</v>
      </c>
      <c r="B243" t="s">
        <v>466</v>
      </c>
      <c r="C243">
        <v>5.1614E-2</v>
      </c>
      <c r="D243">
        <v>0.04</v>
      </c>
      <c r="E243">
        <v>1610000</v>
      </c>
      <c r="F243">
        <v>103570</v>
      </c>
      <c r="G243">
        <v>1000000000000</v>
      </c>
      <c r="H243">
        <f>Table2[[#This Row],[Volume (24h)]]/Table2[[#This Row],[Circulating Supply]]</f>
        <v>1.0356999999999999E-7</v>
      </c>
      <c r="I243">
        <f>RANK(Table2[[#This Row],[Market Cap]],Table2[Market Cap],0)</f>
        <v>242</v>
      </c>
      <c r="J243" t="str">
        <f t="shared" si="3"/>
        <v>0-0.5</v>
      </c>
    </row>
    <row r="244" spans="1:10" x14ac:dyDescent="0.3">
      <c r="A244" t="s">
        <v>467</v>
      </c>
      <c r="B244" t="s">
        <v>468</v>
      </c>
      <c r="C244">
        <v>2.087E-4</v>
      </c>
      <c r="D244">
        <v>0</v>
      </c>
      <c r="E244">
        <v>1600000</v>
      </c>
      <c r="G244">
        <v>7700000000</v>
      </c>
      <c r="H244">
        <f>Table2[[#This Row],[Volume (24h)]]/Table2[[#This Row],[Circulating Supply]]</f>
        <v>0</v>
      </c>
      <c r="I244">
        <f>RANK(Table2[[#This Row],[Market Cap]],Table2[Market Cap],0)</f>
        <v>243</v>
      </c>
      <c r="J244" t="str">
        <f t="shared" si="3"/>
        <v>0-0.5</v>
      </c>
    </row>
    <row r="245" spans="1:10" x14ac:dyDescent="0.3">
      <c r="A245" t="s">
        <v>469</v>
      </c>
      <c r="B245" t="s">
        <v>470</v>
      </c>
      <c r="C245">
        <v>145.94</v>
      </c>
      <c r="D245">
        <v>0.63</v>
      </c>
      <c r="E245">
        <v>1600000</v>
      </c>
      <c r="F245">
        <v>468100</v>
      </c>
      <c r="G245">
        <v>10970</v>
      </c>
      <c r="H245">
        <f>Table2[[#This Row],[Volume (24h)]]/Table2[[#This Row],[Circulating Supply]]</f>
        <v>42.670920692798539</v>
      </c>
      <c r="I245">
        <f>RANK(Table2[[#This Row],[Market Cap]],Table2[Market Cap],0)</f>
        <v>243</v>
      </c>
      <c r="J245" t="str">
        <f t="shared" si="3"/>
        <v>100-10000</v>
      </c>
    </row>
    <row r="246" spans="1:10" x14ac:dyDescent="0.3">
      <c r="A246" t="s">
        <v>471</v>
      </c>
      <c r="B246" t="s">
        <v>472</v>
      </c>
      <c r="C246">
        <v>2.98E-3</v>
      </c>
      <c r="D246">
        <v>1.36</v>
      </c>
      <c r="E246">
        <v>1600000</v>
      </c>
      <c r="F246">
        <v>151140</v>
      </c>
      <c r="G246">
        <v>537270000</v>
      </c>
      <c r="H246">
        <f>Table2[[#This Row],[Volume (24h)]]/Table2[[#This Row],[Circulating Supply]]</f>
        <v>2.8131107264503882E-4</v>
      </c>
      <c r="I246">
        <f>RANK(Table2[[#This Row],[Market Cap]],Table2[Market Cap],0)</f>
        <v>243</v>
      </c>
      <c r="J246" t="str">
        <f t="shared" si="3"/>
        <v>0-0.5</v>
      </c>
    </row>
    <row r="247" spans="1:10" x14ac:dyDescent="0.3">
      <c r="A247" t="s">
        <v>473</v>
      </c>
      <c r="B247" t="s">
        <v>474</v>
      </c>
      <c r="C247">
        <v>1.817E-4</v>
      </c>
      <c r="D247">
        <v>0</v>
      </c>
      <c r="E247">
        <v>1590000</v>
      </c>
      <c r="F247">
        <v>23440</v>
      </c>
      <c r="G247">
        <v>8790000000</v>
      </c>
      <c r="H247">
        <f>Table2[[#This Row],[Volume (24h)]]/Table2[[#This Row],[Circulating Supply]]</f>
        <v>2.6666666666666668E-6</v>
      </c>
      <c r="I247">
        <f>RANK(Table2[[#This Row],[Market Cap]],Table2[Market Cap],0)</f>
        <v>246</v>
      </c>
      <c r="J247" t="str">
        <f t="shared" si="3"/>
        <v>0-0.5</v>
      </c>
    </row>
    <row r="248" spans="1:10" x14ac:dyDescent="0.3">
      <c r="A248" t="s">
        <v>475</v>
      </c>
      <c r="B248" t="s">
        <v>476</v>
      </c>
      <c r="C248">
        <v>6.6140000000000004E-2</v>
      </c>
      <c r="D248">
        <v>0.71</v>
      </c>
      <c r="E248">
        <v>1590000</v>
      </c>
      <c r="F248">
        <v>375690</v>
      </c>
      <c r="G248">
        <v>24060000</v>
      </c>
      <c r="H248">
        <f>Table2[[#This Row],[Volume (24h)]]/Table2[[#This Row],[Circulating Supply]]</f>
        <v>1.5614713216957605E-2</v>
      </c>
      <c r="I248">
        <f>RANK(Table2[[#This Row],[Market Cap]],Table2[Market Cap],0)</f>
        <v>246</v>
      </c>
      <c r="J248" t="str">
        <f t="shared" si="3"/>
        <v>0-0.5</v>
      </c>
    </row>
    <row r="249" spans="1:10" x14ac:dyDescent="0.3">
      <c r="A249" t="s">
        <v>477</v>
      </c>
      <c r="B249" t="s">
        <v>478</v>
      </c>
      <c r="C249">
        <v>8.4830000000000003E-2</v>
      </c>
      <c r="D249">
        <v>0.53</v>
      </c>
      <c r="E249">
        <v>1580000</v>
      </c>
      <c r="F249">
        <v>324580</v>
      </c>
      <c r="G249">
        <v>18710000</v>
      </c>
      <c r="H249">
        <f>Table2[[#This Row],[Volume (24h)]]/Table2[[#This Row],[Circulating Supply]]</f>
        <v>1.7347942276857296E-2</v>
      </c>
      <c r="I249">
        <f>RANK(Table2[[#This Row],[Market Cap]],Table2[Market Cap],0)</f>
        <v>249</v>
      </c>
      <c r="J249" t="str">
        <f t="shared" si="3"/>
        <v>0-0.5</v>
      </c>
    </row>
    <row r="250" spans="1:10" x14ac:dyDescent="0.3">
      <c r="A250" t="s">
        <v>479</v>
      </c>
      <c r="B250" t="s">
        <v>480</v>
      </c>
      <c r="C250">
        <v>8.0689999999999998E-3</v>
      </c>
      <c r="D250">
        <v>0.27</v>
      </c>
      <c r="E250">
        <v>1590000</v>
      </c>
      <c r="F250">
        <v>1100000</v>
      </c>
      <c r="G250">
        <v>197300000</v>
      </c>
      <c r="H250">
        <f>Table2[[#This Row],[Volume (24h)]]/Table2[[#This Row],[Circulating Supply]]</f>
        <v>5.5752660922453118E-3</v>
      </c>
      <c r="I250">
        <f>RANK(Table2[[#This Row],[Market Cap]],Table2[Market Cap],0)</f>
        <v>246</v>
      </c>
      <c r="J250" t="str">
        <f t="shared" si="3"/>
        <v>0-0.5</v>
      </c>
    </row>
    <row r="251" spans="1:10" x14ac:dyDescent="0.3">
      <c r="A251" t="s">
        <v>481</v>
      </c>
      <c r="B251" t="s">
        <v>482</v>
      </c>
      <c r="C251">
        <v>85.33</v>
      </c>
      <c r="D251">
        <v>0</v>
      </c>
      <c r="E251">
        <v>1580000</v>
      </c>
      <c r="G251">
        <v>18530</v>
      </c>
      <c r="H251">
        <f>Table2[[#This Row],[Volume (24h)]]/Table2[[#This Row],[Circulating Supply]]</f>
        <v>0</v>
      </c>
      <c r="I251">
        <f>RANK(Table2[[#This Row],[Market Cap]],Table2[Market Cap],0)</f>
        <v>249</v>
      </c>
      <c r="J251" t="str">
        <f t="shared" si="3"/>
        <v>10-100</v>
      </c>
    </row>
    <row r="252" spans="1:10" x14ac:dyDescent="0.3">
      <c r="A252" t="s">
        <v>483</v>
      </c>
      <c r="B252" t="s">
        <v>483</v>
      </c>
      <c r="C252">
        <v>1.306E-2</v>
      </c>
      <c r="D252">
        <v>0</v>
      </c>
      <c r="E252">
        <v>1580000</v>
      </c>
      <c r="F252">
        <v>23.89</v>
      </c>
      <c r="G252">
        <v>121040000</v>
      </c>
      <c r="H252">
        <f>Table2[[#This Row],[Volume (24h)]]/Table2[[#This Row],[Circulating Supply]]</f>
        <v>1.9737276933245208E-7</v>
      </c>
      <c r="I252">
        <f>RANK(Table2[[#This Row],[Market Cap]],Table2[Market Cap],0)</f>
        <v>249</v>
      </c>
      <c r="J252" t="str">
        <f t="shared" si="3"/>
        <v>0-0.5</v>
      </c>
    </row>
    <row r="253" spans="1:10" x14ac:dyDescent="0.3">
      <c r="A253" t="s">
        <v>484</v>
      </c>
      <c r="B253" t="s">
        <v>484</v>
      </c>
      <c r="C253">
        <v>2.544E-5</v>
      </c>
      <c r="D253">
        <v>0</v>
      </c>
      <c r="E253">
        <v>1570000</v>
      </c>
      <c r="G253">
        <v>62070000000</v>
      </c>
      <c r="H253">
        <f>Table2[[#This Row],[Volume (24h)]]/Table2[[#This Row],[Circulating Supply]]</f>
        <v>0</v>
      </c>
      <c r="I253">
        <f>RANK(Table2[[#This Row],[Market Cap]],Table2[Market Cap],0)</f>
        <v>252</v>
      </c>
      <c r="J253" t="str">
        <f t="shared" si="3"/>
        <v>0-0.5</v>
      </c>
    </row>
    <row r="254" spans="1:10" x14ac:dyDescent="0.3">
      <c r="A254" t="s">
        <v>485</v>
      </c>
      <c r="B254" t="s">
        <v>486</v>
      </c>
      <c r="C254">
        <v>76.34</v>
      </c>
      <c r="D254">
        <v>0</v>
      </c>
      <c r="E254">
        <v>1570000</v>
      </c>
      <c r="G254">
        <v>20640</v>
      </c>
      <c r="H254">
        <f>Table2[[#This Row],[Volume (24h)]]/Table2[[#This Row],[Circulating Supply]]</f>
        <v>0</v>
      </c>
      <c r="I254">
        <f>RANK(Table2[[#This Row],[Market Cap]],Table2[Market Cap],0)</f>
        <v>252</v>
      </c>
      <c r="J254" t="str">
        <f t="shared" si="3"/>
        <v>10-100</v>
      </c>
    </row>
    <row r="255" spans="1:10" x14ac:dyDescent="0.3">
      <c r="A255" t="s">
        <v>487</v>
      </c>
      <c r="B255" t="s">
        <v>488</v>
      </c>
      <c r="C255">
        <v>8.0759999999999998E-2</v>
      </c>
      <c r="D255">
        <v>0.19</v>
      </c>
      <c r="E255">
        <v>1570000</v>
      </c>
      <c r="F255">
        <v>238760</v>
      </c>
      <c r="G255">
        <v>19480000</v>
      </c>
      <c r="H255">
        <f>Table2[[#This Row],[Volume (24h)]]/Table2[[#This Row],[Circulating Supply]]</f>
        <v>1.2256673511293635E-2</v>
      </c>
      <c r="I255">
        <f>RANK(Table2[[#This Row],[Market Cap]],Table2[Market Cap],0)</f>
        <v>252</v>
      </c>
      <c r="J255" t="str">
        <f t="shared" si="3"/>
        <v>0-0.5</v>
      </c>
    </row>
    <row r="256" spans="1:10" x14ac:dyDescent="0.3">
      <c r="A256" t="s">
        <v>489</v>
      </c>
      <c r="B256" t="s">
        <v>490</v>
      </c>
      <c r="C256">
        <v>6.1070000000000004E-4</v>
      </c>
      <c r="D256">
        <v>9.1999999999999993</v>
      </c>
      <c r="E256">
        <v>1530000</v>
      </c>
      <c r="F256">
        <v>30220</v>
      </c>
      <c r="G256">
        <v>2510000000</v>
      </c>
      <c r="H256">
        <f>Table2[[#This Row],[Volume (24h)]]/Table2[[#This Row],[Circulating Supply]]</f>
        <v>1.20398406374502E-5</v>
      </c>
      <c r="I256">
        <f>RANK(Table2[[#This Row],[Market Cap]],Table2[Market Cap],0)</f>
        <v>255</v>
      </c>
      <c r="J256" t="str">
        <f t="shared" si="3"/>
        <v>0-0.5</v>
      </c>
    </row>
    <row r="257" spans="1:10" x14ac:dyDescent="0.3">
      <c r="A257" t="s">
        <v>491</v>
      </c>
      <c r="B257" t="s">
        <v>492</v>
      </c>
      <c r="C257">
        <v>86.51</v>
      </c>
      <c r="D257">
        <v>0.61</v>
      </c>
      <c r="E257">
        <v>1300000</v>
      </c>
      <c r="F257">
        <v>277200</v>
      </c>
      <c r="G257">
        <v>15050</v>
      </c>
      <c r="H257">
        <f>Table2[[#This Row],[Volume (24h)]]/Table2[[#This Row],[Circulating Supply]]</f>
        <v>18.418604651162791</v>
      </c>
      <c r="I257">
        <f>RANK(Table2[[#This Row],[Market Cap]],Table2[Market Cap],0)</f>
        <v>256</v>
      </c>
      <c r="J257" t="str">
        <f t="shared" si="3"/>
        <v>10-100</v>
      </c>
    </row>
    <row r="258" spans="1:10" x14ac:dyDescent="0.3">
      <c r="A258" t="s">
        <v>493</v>
      </c>
      <c r="B258" t="s">
        <v>494</v>
      </c>
      <c r="C258">
        <v>1.9589999999999998E-3</v>
      </c>
      <c r="D258">
        <v>0.01</v>
      </c>
      <c r="E258">
        <v>1290000</v>
      </c>
      <c r="F258">
        <v>98630</v>
      </c>
      <c r="G258">
        <v>663490000</v>
      </c>
      <c r="H258">
        <f>Table2[[#This Row],[Volume (24h)]]/Table2[[#This Row],[Circulating Supply]]</f>
        <v>1.4865333313237577E-4</v>
      </c>
      <c r="I258">
        <f>RANK(Table2[[#This Row],[Market Cap]],Table2[Market Cap],0)</f>
        <v>257</v>
      </c>
      <c r="J258" t="str">
        <f t="shared" ref="J258:J301" si="4">IF(C258&lt;=0.5,"0-0.5",
IF(C258&lt;=1,"0.5-1",
IF(C258&lt;=2,"1-2",
IF(C258&lt;=10,"2-10",
IF(C258&lt;=100,"10-100",
IF(C258&lt;=10000,"100-10000",
"10000+"))))))</f>
        <v>0-0.5</v>
      </c>
    </row>
    <row r="259" spans="1:10" x14ac:dyDescent="0.3">
      <c r="A259" t="s">
        <v>495</v>
      </c>
      <c r="B259" t="s">
        <v>496</v>
      </c>
      <c r="C259">
        <v>9.2689999999999995E-3</v>
      </c>
      <c r="D259">
        <v>0.21</v>
      </c>
      <c r="E259">
        <v>1290000</v>
      </c>
      <c r="F259">
        <v>115470</v>
      </c>
      <c r="G259">
        <v>139770000</v>
      </c>
      <c r="H259">
        <f>Table2[[#This Row],[Volume (24h)]]/Table2[[#This Row],[Circulating Supply]]</f>
        <v>8.2614294913071476E-4</v>
      </c>
      <c r="I259">
        <f>RANK(Table2[[#This Row],[Market Cap]],Table2[Market Cap],0)</f>
        <v>257</v>
      </c>
      <c r="J259" t="str">
        <f t="shared" si="4"/>
        <v>0-0.5</v>
      </c>
    </row>
    <row r="260" spans="1:10" x14ac:dyDescent="0.3">
      <c r="A260" t="s">
        <v>497</v>
      </c>
      <c r="B260" t="s">
        <v>498</v>
      </c>
      <c r="C260">
        <v>575.01</v>
      </c>
      <c r="D260">
        <v>0.05</v>
      </c>
      <c r="E260">
        <v>1290000</v>
      </c>
      <c r="F260">
        <v>1320000</v>
      </c>
      <c r="G260">
        <v>2250</v>
      </c>
      <c r="H260">
        <f>Table2[[#This Row],[Volume (24h)]]/Table2[[#This Row],[Circulating Supply]]</f>
        <v>586.66666666666663</v>
      </c>
      <c r="I260">
        <f>RANK(Table2[[#This Row],[Market Cap]],Table2[Market Cap],0)</f>
        <v>257</v>
      </c>
      <c r="J260" t="str">
        <f t="shared" si="4"/>
        <v>100-10000</v>
      </c>
    </row>
    <row r="261" spans="1:10" x14ac:dyDescent="0.3">
      <c r="A261" t="s">
        <v>499</v>
      </c>
      <c r="B261" t="s">
        <v>500</v>
      </c>
      <c r="C261">
        <v>2.3650000000000001E-2</v>
      </c>
      <c r="D261">
        <v>0.02</v>
      </c>
      <c r="E261">
        <v>1280000</v>
      </c>
      <c r="G261">
        <v>54380000</v>
      </c>
      <c r="H261">
        <f>Table2[[#This Row],[Volume (24h)]]/Table2[[#This Row],[Circulating Supply]]</f>
        <v>0</v>
      </c>
      <c r="I261">
        <f>RANK(Table2[[#This Row],[Market Cap]],Table2[Market Cap],0)</f>
        <v>260</v>
      </c>
      <c r="J261" t="str">
        <f t="shared" si="4"/>
        <v>0-0.5</v>
      </c>
    </row>
    <row r="262" spans="1:10" x14ac:dyDescent="0.3">
      <c r="A262" t="s">
        <v>501</v>
      </c>
      <c r="B262" t="s">
        <v>494</v>
      </c>
      <c r="C262">
        <v>4.7910000000000001E-3</v>
      </c>
      <c r="D262">
        <v>0</v>
      </c>
      <c r="E262">
        <v>1280000</v>
      </c>
      <c r="G262">
        <v>267950000</v>
      </c>
      <c r="H262">
        <f>Table2[[#This Row],[Volume (24h)]]/Table2[[#This Row],[Circulating Supply]]</f>
        <v>0</v>
      </c>
      <c r="I262">
        <f>RANK(Table2[[#This Row],[Market Cap]],Table2[Market Cap],0)</f>
        <v>260</v>
      </c>
      <c r="J262" t="str">
        <f t="shared" si="4"/>
        <v>0-0.5</v>
      </c>
    </row>
    <row r="263" spans="1:10" x14ac:dyDescent="0.3">
      <c r="A263" t="s">
        <v>502</v>
      </c>
      <c r="B263" t="s">
        <v>503</v>
      </c>
      <c r="C263">
        <v>9.708E-2</v>
      </c>
      <c r="D263">
        <v>0.19</v>
      </c>
      <c r="E263">
        <v>1270000</v>
      </c>
      <c r="F263">
        <v>92100</v>
      </c>
      <c r="G263">
        <v>13170000</v>
      </c>
      <c r="H263">
        <f>Table2[[#This Row],[Volume (24h)]]/Table2[[#This Row],[Circulating Supply]]</f>
        <v>6.9931662870159452E-3</v>
      </c>
      <c r="I263">
        <f>RANK(Table2[[#This Row],[Market Cap]],Table2[Market Cap],0)</f>
        <v>262</v>
      </c>
      <c r="J263" t="str">
        <f t="shared" si="4"/>
        <v>0-0.5</v>
      </c>
    </row>
    <row r="264" spans="1:10" x14ac:dyDescent="0.3">
      <c r="A264" t="s">
        <v>504</v>
      </c>
      <c r="B264" t="s">
        <v>505</v>
      </c>
      <c r="C264">
        <v>1.307E-3</v>
      </c>
      <c r="D264">
        <v>5.66</v>
      </c>
      <c r="E264">
        <v>1270000</v>
      </c>
      <c r="F264">
        <v>56030</v>
      </c>
      <c r="G264">
        <v>978220000</v>
      </c>
      <c r="H264">
        <f>Table2[[#This Row],[Volume (24h)]]/Table2[[#This Row],[Circulating Supply]]</f>
        <v>5.7277504037946472E-5</v>
      </c>
      <c r="I264">
        <f>RANK(Table2[[#This Row],[Market Cap]],Table2[Market Cap],0)</f>
        <v>262</v>
      </c>
      <c r="J264" t="str">
        <f t="shared" si="4"/>
        <v>0-0.5</v>
      </c>
    </row>
    <row r="265" spans="1:10" x14ac:dyDescent="0.3">
      <c r="A265" t="s">
        <v>506</v>
      </c>
      <c r="B265" t="s">
        <v>507</v>
      </c>
      <c r="C265">
        <v>1.9359999999999999E-2</v>
      </c>
      <c r="D265">
        <v>0.55000000000000004</v>
      </c>
      <c r="E265">
        <v>1270000</v>
      </c>
      <c r="F265">
        <v>49670</v>
      </c>
      <c r="G265">
        <v>66000000</v>
      </c>
      <c r="H265">
        <f>Table2[[#This Row],[Volume (24h)]]/Table2[[#This Row],[Circulating Supply]]</f>
        <v>7.5257575757575756E-4</v>
      </c>
      <c r="I265">
        <f>RANK(Table2[[#This Row],[Market Cap]],Table2[Market Cap],0)</f>
        <v>262</v>
      </c>
      <c r="J265" t="str">
        <f t="shared" si="4"/>
        <v>0-0.5</v>
      </c>
    </row>
    <row r="266" spans="1:10" x14ac:dyDescent="0.3">
      <c r="A266" t="s">
        <v>508</v>
      </c>
      <c r="B266" t="s">
        <v>509</v>
      </c>
      <c r="C266">
        <v>1.2780000000000001E-3</v>
      </c>
      <c r="D266">
        <v>1.1499999999999999</v>
      </c>
      <c r="E266">
        <v>1270000</v>
      </c>
      <c r="F266">
        <v>305210</v>
      </c>
      <c r="G266">
        <v>999820000</v>
      </c>
      <c r="H266">
        <f>Table2[[#This Row],[Volume (24h)]]/Table2[[#This Row],[Circulating Supply]]</f>
        <v>3.0526494769058429E-4</v>
      </c>
      <c r="I266">
        <f>RANK(Table2[[#This Row],[Market Cap]],Table2[Market Cap],0)</f>
        <v>262</v>
      </c>
      <c r="J266" t="str">
        <f t="shared" si="4"/>
        <v>0-0.5</v>
      </c>
    </row>
    <row r="267" spans="1:10" x14ac:dyDescent="0.3">
      <c r="A267" t="s">
        <v>510</v>
      </c>
      <c r="B267" t="s">
        <v>511</v>
      </c>
      <c r="C267">
        <v>2.5330000000000001E-3</v>
      </c>
      <c r="D267">
        <v>0.15</v>
      </c>
      <c r="E267">
        <v>1270000</v>
      </c>
      <c r="F267">
        <v>87390</v>
      </c>
      <c r="G267">
        <v>503180000</v>
      </c>
      <c r="H267">
        <f>Table2[[#This Row],[Volume (24h)]]/Table2[[#This Row],[Circulating Supply]]</f>
        <v>1.7367542430144284E-4</v>
      </c>
      <c r="I267">
        <f>RANK(Table2[[#This Row],[Market Cap]],Table2[Market Cap],0)</f>
        <v>262</v>
      </c>
      <c r="J267" t="str">
        <f t="shared" si="4"/>
        <v>0-0.5</v>
      </c>
    </row>
    <row r="268" spans="1:10" x14ac:dyDescent="0.3">
      <c r="A268" t="s">
        <v>512</v>
      </c>
      <c r="B268" t="s">
        <v>512</v>
      </c>
      <c r="C268">
        <v>3.5459999999999998E-2</v>
      </c>
      <c r="D268">
        <v>0.01</v>
      </c>
      <c r="E268">
        <v>1270000</v>
      </c>
      <c r="G268">
        <v>35890000</v>
      </c>
      <c r="H268">
        <f>Table2[[#This Row],[Volume (24h)]]/Table2[[#This Row],[Circulating Supply]]</f>
        <v>0</v>
      </c>
      <c r="I268">
        <f>RANK(Table2[[#This Row],[Market Cap]],Table2[Market Cap],0)</f>
        <v>262</v>
      </c>
      <c r="J268" t="str">
        <f t="shared" si="4"/>
        <v>0-0.5</v>
      </c>
    </row>
    <row r="269" spans="1:10" x14ac:dyDescent="0.3">
      <c r="A269" t="s">
        <v>513</v>
      </c>
      <c r="B269" t="s">
        <v>514</v>
      </c>
      <c r="C269">
        <v>1.6102100000000001E-2</v>
      </c>
      <c r="D269">
        <v>0.01</v>
      </c>
      <c r="E269">
        <v>1270000</v>
      </c>
      <c r="F269">
        <v>385.44</v>
      </c>
      <c r="H269" t="e">
        <f>Table2[[#This Row],[Volume (24h)]]/Table2[[#This Row],[Circulating Supply]]</f>
        <v>#DIV/0!</v>
      </c>
      <c r="I269">
        <f>RANK(Table2[[#This Row],[Market Cap]],Table2[Market Cap],0)</f>
        <v>262</v>
      </c>
      <c r="J269" t="str">
        <f t="shared" si="4"/>
        <v>0-0.5</v>
      </c>
    </row>
    <row r="270" spans="1:10" x14ac:dyDescent="0.3">
      <c r="A270" t="s">
        <v>515</v>
      </c>
      <c r="B270" t="s">
        <v>516</v>
      </c>
      <c r="C270">
        <v>3.3140000000000001E-3</v>
      </c>
      <c r="D270">
        <v>0.38</v>
      </c>
      <c r="E270">
        <v>1260000</v>
      </c>
      <c r="F270">
        <v>54550</v>
      </c>
      <c r="G270">
        <v>382950000</v>
      </c>
      <c r="H270">
        <f>Table2[[#This Row],[Volume (24h)]]/Table2[[#This Row],[Circulating Supply]]</f>
        <v>1.4244679462070765E-4</v>
      </c>
      <c r="I270">
        <f>RANK(Table2[[#This Row],[Market Cap]],Table2[Market Cap],0)</f>
        <v>269</v>
      </c>
      <c r="J270" t="str">
        <f t="shared" si="4"/>
        <v>0-0.5</v>
      </c>
    </row>
    <row r="271" spans="1:10" x14ac:dyDescent="0.3">
      <c r="A271" t="s">
        <v>517</v>
      </c>
      <c r="B271" t="s">
        <v>518</v>
      </c>
      <c r="C271">
        <v>2.7020000000000001E-4</v>
      </c>
      <c r="D271">
        <v>0.63</v>
      </c>
      <c r="E271">
        <v>1260000</v>
      </c>
      <c r="F271">
        <v>23570</v>
      </c>
      <c r="G271">
        <v>4680000000</v>
      </c>
      <c r="H271">
        <f>Table2[[#This Row],[Volume (24h)]]/Table2[[#This Row],[Circulating Supply]]</f>
        <v>5.0363247863247866E-6</v>
      </c>
      <c r="I271">
        <f>RANK(Table2[[#This Row],[Market Cap]],Table2[Market Cap],0)</f>
        <v>269</v>
      </c>
      <c r="J271" t="str">
        <f t="shared" si="4"/>
        <v>0-0.5</v>
      </c>
    </row>
    <row r="272" spans="1:10" x14ac:dyDescent="0.3">
      <c r="A272" t="s">
        <v>519</v>
      </c>
      <c r="B272" t="s">
        <v>520</v>
      </c>
      <c r="C272">
        <v>5.2713999999999997E-2</v>
      </c>
      <c r="D272">
        <v>0.12</v>
      </c>
      <c r="E272">
        <v>1060000</v>
      </c>
      <c r="F272">
        <v>150.33000000000001</v>
      </c>
      <c r="G272">
        <v>393400000000</v>
      </c>
      <c r="H272">
        <f>Table2[[#This Row],[Volume (24h)]]/Table2[[#This Row],[Circulating Supply]]</f>
        <v>3.8213014743263859E-10</v>
      </c>
      <c r="I272">
        <f>RANK(Table2[[#This Row],[Market Cap]],Table2[Market Cap],0)</f>
        <v>271</v>
      </c>
      <c r="J272" t="str">
        <f t="shared" si="4"/>
        <v>0-0.5</v>
      </c>
    </row>
    <row r="273" spans="1:10" x14ac:dyDescent="0.3">
      <c r="A273" t="s">
        <v>521</v>
      </c>
      <c r="B273" t="s">
        <v>521</v>
      </c>
      <c r="C273">
        <v>8.2533999999999996E-2</v>
      </c>
      <c r="D273">
        <v>0.48</v>
      </c>
      <c r="E273">
        <v>1060000</v>
      </c>
      <c r="F273">
        <v>23390</v>
      </c>
      <c r="G273">
        <v>420690000000000</v>
      </c>
      <c r="H273">
        <f>Table2[[#This Row],[Volume (24h)]]/Table2[[#This Row],[Circulating Supply]]</f>
        <v>5.559913475480758E-11</v>
      </c>
      <c r="I273">
        <f>RANK(Table2[[#This Row],[Market Cap]],Table2[Market Cap],0)</f>
        <v>271</v>
      </c>
      <c r="J273" t="str">
        <f t="shared" si="4"/>
        <v>0-0.5</v>
      </c>
    </row>
    <row r="274" spans="1:10" x14ac:dyDescent="0.3">
      <c r="A274" t="s">
        <v>522</v>
      </c>
      <c r="B274" t="s">
        <v>523</v>
      </c>
      <c r="C274">
        <v>8.0360000000000001E-2</v>
      </c>
      <c r="D274">
        <v>0</v>
      </c>
      <c r="E274">
        <v>1050000</v>
      </c>
      <c r="F274">
        <v>267140</v>
      </c>
      <c r="G274">
        <v>13180000</v>
      </c>
      <c r="H274">
        <f>Table2[[#This Row],[Volume (24h)]]/Table2[[#This Row],[Circulating Supply]]</f>
        <v>2.0268588770864945E-2</v>
      </c>
      <c r="I274">
        <f>RANK(Table2[[#This Row],[Market Cap]],Table2[Market Cap],0)</f>
        <v>273</v>
      </c>
      <c r="J274" t="str">
        <f t="shared" si="4"/>
        <v>0-0.5</v>
      </c>
    </row>
    <row r="275" spans="1:10" x14ac:dyDescent="0.3">
      <c r="A275" t="s">
        <v>524</v>
      </c>
      <c r="B275" t="s">
        <v>525</v>
      </c>
      <c r="C275">
        <v>2.8400000000000002E-4</v>
      </c>
      <c r="D275">
        <v>0.39</v>
      </c>
      <c r="E275">
        <v>1050000</v>
      </c>
      <c r="F275">
        <v>798580</v>
      </c>
      <c r="G275">
        <v>3720000000</v>
      </c>
      <c r="H275">
        <f>Table2[[#This Row],[Volume (24h)]]/Table2[[#This Row],[Circulating Supply]]</f>
        <v>2.1467204301075268E-4</v>
      </c>
      <c r="I275">
        <f>RANK(Table2[[#This Row],[Market Cap]],Table2[Market Cap],0)</f>
        <v>273</v>
      </c>
      <c r="J275" t="str">
        <f t="shared" si="4"/>
        <v>0-0.5</v>
      </c>
    </row>
    <row r="276" spans="1:10" x14ac:dyDescent="0.3">
      <c r="A276" t="s">
        <v>526</v>
      </c>
      <c r="B276" t="s">
        <v>527</v>
      </c>
      <c r="C276">
        <v>8.1081E-2</v>
      </c>
      <c r="D276">
        <v>3.39</v>
      </c>
      <c r="E276">
        <v>1050000</v>
      </c>
      <c r="F276">
        <v>36950</v>
      </c>
      <c r="G276">
        <v>975810000000000</v>
      </c>
      <c r="H276">
        <f>Table2[[#This Row],[Volume (24h)]]/Table2[[#This Row],[Circulating Supply]]</f>
        <v>3.7865978008013854E-11</v>
      </c>
      <c r="I276">
        <f>RANK(Table2[[#This Row],[Market Cap]],Table2[Market Cap],0)</f>
        <v>273</v>
      </c>
      <c r="J276" t="str">
        <f t="shared" si="4"/>
        <v>0-0.5</v>
      </c>
    </row>
    <row r="277" spans="1:10" x14ac:dyDescent="0.3">
      <c r="A277" t="s">
        <v>528</v>
      </c>
      <c r="B277" t="s">
        <v>529</v>
      </c>
      <c r="C277">
        <v>1.2469999999999999E-5</v>
      </c>
      <c r="D277">
        <v>0.7</v>
      </c>
      <c r="E277">
        <v>1050000</v>
      </c>
      <c r="F277">
        <v>25090</v>
      </c>
      <c r="G277">
        <v>84560000000</v>
      </c>
      <c r="H277">
        <f>Table2[[#This Row],[Volume (24h)]]/Table2[[#This Row],[Circulating Supply]]</f>
        <v>2.9671239356669819E-7</v>
      </c>
      <c r="I277">
        <f>RANK(Table2[[#This Row],[Market Cap]],Table2[Market Cap],0)</f>
        <v>273</v>
      </c>
      <c r="J277" t="str">
        <f t="shared" si="4"/>
        <v>0-0.5</v>
      </c>
    </row>
    <row r="278" spans="1:10" x14ac:dyDescent="0.3">
      <c r="A278" t="s">
        <v>530</v>
      </c>
      <c r="B278" t="s">
        <v>531</v>
      </c>
      <c r="C278">
        <v>1.116E-3</v>
      </c>
      <c r="D278">
        <v>0.2</v>
      </c>
      <c r="E278">
        <v>1050000</v>
      </c>
      <c r="F278">
        <v>232440</v>
      </c>
      <c r="G278">
        <v>940890000</v>
      </c>
      <c r="H278">
        <f>Table2[[#This Row],[Volume (24h)]]/Table2[[#This Row],[Circulating Supply]]</f>
        <v>2.4704269361987052E-4</v>
      </c>
      <c r="I278">
        <f>RANK(Table2[[#This Row],[Market Cap]],Table2[Market Cap],0)</f>
        <v>273</v>
      </c>
      <c r="J278" t="str">
        <f t="shared" si="4"/>
        <v>0-0.5</v>
      </c>
    </row>
    <row r="279" spans="1:10" x14ac:dyDescent="0.3">
      <c r="A279" t="s">
        <v>532</v>
      </c>
      <c r="B279" t="s">
        <v>533</v>
      </c>
      <c r="C279">
        <v>22.49</v>
      </c>
      <c r="D279">
        <v>16.46</v>
      </c>
      <c r="E279">
        <v>1040000</v>
      </c>
      <c r="F279">
        <v>2020</v>
      </c>
      <c r="G279">
        <v>46640</v>
      </c>
      <c r="H279">
        <f>Table2[[#This Row],[Volume (24h)]]/Table2[[#This Row],[Circulating Supply]]</f>
        <v>4.3310463121783875E-2</v>
      </c>
      <c r="I279">
        <f>RANK(Table2[[#This Row],[Market Cap]],Table2[Market Cap],0)</f>
        <v>278</v>
      </c>
      <c r="J279" t="str">
        <f t="shared" si="4"/>
        <v>10-100</v>
      </c>
    </row>
    <row r="280" spans="1:10" x14ac:dyDescent="0.3">
      <c r="A280" t="s">
        <v>534</v>
      </c>
      <c r="B280" t="s">
        <v>535</v>
      </c>
      <c r="C280">
        <v>6.5989999999999997E-5</v>
      </c>
      <c r="D280">
        <v>1.42</v>
      </c>
      <c r="E280">
        <v>1040000</v>
      </c>
      <c r="F280">
        <v>52780</v>
      </c>
      <c r="G280">
        <v>15900000000</v>
      </c>
      <c r="H280">
        <f>Table2[[#This Row],[Volume (24h)]]/Table2[[#This Row],[Circulating Supply]]</f>
        <v>3.319496855345912E-6</v>
      </c>
      <c r="I280">
        <f>RANK(Table2[[#This Row],[Market Cap]],Table2[Market Cap],0)</f>
        <v>278</v>
      </c>
      <c r="J280" t="str">
        <f t="shared" si="4"/>
        <v>0-0.5</v>
      </c>
    </row>
    <row r="281" spans="1:10" x14ac:dyDescent="0.3">
      <c r="A281" t="s">
        <v>536</v>
      </c>
      <c r="B281" t="s">
        <v>537</v>
      </c>
      <c r="C281">
        <v>1.047E-4</v>
      </c>
      <c r="D281">
        <v>0</v>
      </c>
      <c r="E281">
        <v>1040000</v>
      </c>
      <c r="G281">
        <v>10000000000</v>
      </c>
      <c r="H281">
        <f>Table2[[#This Row],[Volume (24h)]]/Table2[[#This Row],[Circulating Supply]]</f>
        <v>0</v>
      </c>
      <c r="I281">
        <f>RANK(Table2[[#This Row],[Market Cap]],Table2[Market Cap],0)</f>
        <v>278</v>
      </c>
      <c r="J281" t="str">
        <f t="shared" si="4"/>
        <v>0-0.5</v>
      </c>
    </row>
    <row r="282" spans="1:10" x14ac:dyDescent="0.3">
      <c r="A282" t="s">
        <v>538</v>
      </c>
      <c r="B282" t="s">
        <v>539</v>
      </c>
      <c r="C282">
        <v>206.65</v>
      </c>
      <c r="D282">
        <v>0.74</v>
      </c>
      <c r="E282">
        <v>1040000</v>
      </c>
      <c r="F282">
        <v>1950000</v>
      </c>
      <c r="G282">
        <v>5060</v>
      </c>
      <c r="H282">
        <f>Table2[[#This Row],[Volume (24h)]]/Table2[[#This Row],[Circulating Supply]]</f>
        <v>385.37549407114625</v>
      </c>
      <c r="I282">
        <f>RANK(Table2[[#This Row],[Market Cap]],Table2[Market Cap],0)</f>
        <v>278</v>
      </c>
      <c r="J282" t="str">
        <f t="shared" si="4"/>
        <v>100-10000</v>
      </c>
    </row>
    <row r="283" spans="1:10" x14ac:dyDescent="0.3">
      <c r="A283" t="s">
        <v>540</v>
      </c>
      <c r="B283" t="s">
        <v>541</v>
      </c>
      <c r="C283">
        <v>5.2489000000000001E-2</v>
      </c>
      <c r="D283">
        <v>0.46</v>
      </c>
      <c r="E283">
        <v>1040000</v>
      </c>
      <c r="F283">
        <v>41040</v>
      </c>
      <c r="G283">
        <v>420690000000</v>
      </c>
      <c r="H283">
        <f>Table2[[#This Row],[Volume (24h)]]/Table2[[#This Row],[Circulating Supply]]</f>
        <v>9.755401839834558E-8</v>
      </c>
      <c r="I283">
        <f>RANK(Table2[[#This Row],[Market Cap]],Table2[Market Cap],0)</f>
        <v>278</v>
      </c>
      <c r="J283" t="str">
        <f t="shared" si="4"/>
        <v>0-0.5</v>
      </c>
    </row>
    <row r="284" spans="1:10" x14ac:dyDescent="0.3">
      <c r="A284" t="s">
        <v>542</v>
      </c>
      <c r="B284" t="s">
        <v>543</v>
      </c>
      <c r="C284">
        <v>1.047E-3</v>
      </c>
      <c r="D284">
        <v>0.69</v>
      </c>
      <c r="E284">
        <v>1040000</v>
      </c>
      <c r="F284">
        <v>773890</v>
      </c>
      <c r="G284">
        <v>999910000</v>
      </c>
      <c r="H284">
        <f>Table2[[#This Row],[Volume (24h)]]/Table2[[#This Row],[Circulating Supply]]</f>
        <v>7.739596563690732E-4</v>
      </c>
      <c r="I284">
        <f>RANK(Table2[[#This Row],[Market Cap]],Table2[Market Cap],0)</f>
        <v>278</v>
      </c>
      <c r="J284" t="str">
        <f t="shared" si="4"/>
        <v>0-0.5</v>
      </c>
    </row>
    <row r="285" spans="1:10" x14ac:dyDescent="0.3">
      <c r="A285" t="s">
        <v>544</v>
      </c>
      <c r="B285" t="s">
        <v>545</v>
      </c>
      <c r="C285">
        <v>2.075E-3</v>
      </c>
      <c r="D285">
        <v>0.95</v>
      </c>
      <c r="E285">
        <v>1040000</v>
      </c>
      <c r="F285">
        <v>118180</v>
      </c>
      <c r="G285">
        <v>504080000</v>
      </c>
      <c r="H285">
        <f>Table2[[#This Row],[Volume (24h)]]/Table2[[#This Row],[Circulating Supply]]</f>
        <v>2.3444691318838279E-4</v>
      </c>
      <c r="I285">
        <f>RANK(Table2[[#This Row],[Market Cap]],Table2[Market Cap],0)</f>
        <v>278</v>
      </c>
      <c r="J285" t="str">
        <f t="shared" si="4"/>
        <v>0-0.5</v>
      </c>
    </row>
    <row r="286" spans="1:10" x14ac:dyDescent="0.3">
      <c r="A286" t="s">
        <v>546</v>
      </c>
      <c r="B286" t="s">
        <v>547</v>
      </c>
      <c r="C286">
        <v>6.9650000000000004E-2</v>
      </c>
      <c r="D286">
        <v>0.01</v>
      </c>
      <c r="E286">
        <v>1040000</v>
      </c>
      <c r="F286">
        <v>95060</v>
      </c>
      <c r="G286">
        <v>14950000</v>
      </c>
      <c r="H286">
        <f>Table2[[#This Row],[Volume (24h)]]/Table2[[#This Row],[Circulating Supply]]</f>
        <v>6.3585284280936452E-3</v>
      </c>
      <c r="I286">
        <f>RANK(Table2[[#This Row],[Market Cap]],Table2[Market Cap],0)</f>
        <v>278</v>
      </c>
      <c r="J286" t="str">
        <f t="shared" si="4"/>
        <v>0-0.5</v>
      </c>
    </row>
    <row r="287" spans="1:10" x14ac:dyDescent="0.3">
      <c r="A287" t="s">
        <v>548</v>
      </c>
      <c r="B287" t="s">
        <v>549</v>
      </c>
      <c r="C287">
        <v>4.0109999999999998E-3</v>
      </c>
      <c r="D287">
        <v>0</v>
      </c>
      <c r="E287">
        <v>882520</v>
      </c>
      <c r="G287">
        <v>220000000</v>
      </c>
      <c r="H287">
        <f>Table2[[#This Row],[Volume (24h)]]/Table2[[#This Row],[Circulating Supply]]</f>
        <v>0</v>
      </c>
      <c r="I287">
        <f>RANK(Table2[[#This Row],[Market Cap]],Table2[Market Cap],0)</f>
        <v>286</v>
      </c>
      <c r="J287" t="str">
        <f t="shared" si="4"/>
        <v>0-0.5</v>
      </c>
    </row>
    <row r="288" spans="1:10" x14ac:dyDescent="0.3">
      <c r="A288" t="s">
        <v>550</v>
      </c>
      <c r="B288" t="s">
        <v>551</v>
      </c>
      <c r="C288">
        <v>2.0139999999999999E-4</v>
      </c>
      <c r="D288">
        <v>0</v>
      </c>
      <c r="E288">
        <v>880500</v>
      </c>
      <c r="G288">
        <v>4370000000</v>
      </c>
      <c r="H288">
        <f>Table2[[#This Row],[Volume (24h)]]/Table2[[#This Row],[Circulating Supply]]</f>
        <v>0</v>
      </c>
      <c r="I288">
        <f>RANK(Table2[[#This Row],[Market Cap]],Table2[Market Cap],0)</f>
        <v>288</v>
      </c>
      <c r="J288" t="str">
        <f t="shared" si="4"/>
        <v>0-0.5</v>
      </c>
    </row>
    <row r="289" spans="1:10" x14ac:dyDescent="0.3">
      <c r="A289" t="s">
        <v>552</v>
      </c>
      <c r="B289" t="s">
        <v>553</v>
      </c>
      <c r="C289">
        <v>1.6210000000000001E-4</v>
      </c>
      <c r="D289">
        <v>0.01</v>
      </c>
      <c r="E289">
        <v>880190</v>
      </c>
      <c r="F289">
        <v>11550</v>
      </c>
      <c r="G289">
        <v>5420000000</v>
      </c>
      <c r="H289">
        <f>Table2[[#This Row],[Volume (24h)]]/Table2[[#This Row],[Circulating Supply]]</f>
        <v>2.1309963099630998E-6</v>
      </c>
      <c r="I289">
        <f>RANK(Table2[[#This Row],[Market Cap]],Table2[Market Cap],0)</f>
        <v>289</v>
      </c>
      <c r="J289" t="str">
        <f t="shared" si="4"/>
        <v>0-0.5</v>
      </c>
    </row>
    <row r="290" spans="1:10" x14ac:dyDescent="0.3">
      <c r="A290" t="s">
        <v>554</v>
      </c>
      <c r="B290" t="s">
        <v>555</v>
      </c>
      <c r="C290">
        <v>64.62</v>
      </c>
      <c r="D290">
        <v>0.56000000000000005</v>
      </c>
      <c r="E290">
        <v>881280</v>
      </c>
      <c r="F290">
        <v>1080000</v>
      </c>
      <c r="G290">
        <v>13630</v>
      </c>
      <c r="H290">
        <f>Table2[[#This Row],[Volume (24h)]]/Table2[[#This Row],[Circulating Supply]]</f>
        <v>79.236977256052825</v>
      </c>
      <c r="I290">
        <f>RANK(Table2[[#This Row],[Market Cap]],Table2[Market Cap],0)</f>
        <v>287</v>
      </c>
      <c r="J290" t="str">
        <f t="shared" si="4"/>
        <v>10-100</v>
      </c>
    </row>
    <row r="291" spans="1:10" x14ac:dyDescent="0.3">
      <c r="A291" t="s">
        <v>556</v>
      </c>
      <c r="B291" t="s">
        <v>557</v>
      </c>
      <c r="C291">
        <v>1.8259999999999998E-2</v>
      </c>
      <c r="D291">
        <v>0.01</v>
      </c>
      <c r="E291">
        <v>878560</v>
      </c>
      <c r="F291">
        <v>3260</v>
      </c>
      <c r="G291">
        <v>48090000</v>
      </c>
      <c r="H291">
        <f>Table2[[#This Row],[Volume (24h)]]/Table2[[#This Row],[Circulating Supply]]</f>
        <v>6.7789561239342894E-5</v>
      </c>
      <c r="I291">
        <f>RANK(Table2[[#This Row],[Market Cap]],Table2[Market Cap],0)</f>
        <v>290</v>
      </c>
      <c r="J291" t="str">
        <f t="shared" si="4"/>
        <v>0-0.5</v>
      </c>
    </row>
    <row r="292" spans="1:10" x14ac:dyDescent="0.3">
      <c r="A292" t="s">
        <v>558</v>
      </c>
      <c r="B292" t="s">
        <v>559</v>
      </c>
      <c r="C292">
        <v>3.884E-2</v>
      </c>
      <c r="D292">
        <v>0.46</v>
      </c>
      <c r="E292">
        <v>874010</v>
      </c>
      <c r="F292">
        <v>2180000</v>
      </c>
      <c r="G292">
        <v>22500000</v>
      </c>
      <c r="H292">
        <f>Table2[[#This Row],[Volume (24h)]]/Table2[[#This Row],[Circulating Supply]]</f>
        <v>9.6888888888888886E-2</v>
      </c>
      <c r="I292">
        <f>RANK(Table2[[#This Row],[Market Cap]],Table2[Market Cap],0)</f>
        <v>291</v>
      </c>
      <c r="J292" t="str">
        <f t="shared" si="4"/>
        <v>0-0.5</v>
      </c>
    </row>
    <row r="293" spans="1:10" x14ac:dyDescent="0.3">
      <c r="A293" t="s">
        <v>560</v>
      </c>
      <c r="B293" t="s">
        <v>561</v>
      </c>
      <c r="C293">
        <v>6.0540000000000004E-3</v>
      </c>
      <c r="D293">
        <v>0.5</v>
      </c>
      <c r="E293">
        <v>873610</v>
      </c>
      <c r="G293">
        <v>144290000</v>
      </c>
      <c r="H293">
        <f>Table2[[#This Row],[Volume (24h)]]/Table2[[#This Row],[Circulating Supply]]</f>
        <v>0</v>
      </c>
      <c r="I293">
        <f>RANK(Table2[[#This Row],[Market Cap]],Table2[Market Cap],0)</f>
        <v>292</v>
      </c>
      <c r="J293" t="str">
        <f t="shared" si="4"/>
        <v>0-0.5</v>
      </c>
    </row>
    <row r="294" spans="1:10" x14ac:dyDescent="0.3">
      <c r="A294" t="s">
        <v>562</v>
      </c>
      <c r="B294" t="s">
        <v>563</v>
      </c>
      <c r="C294">
        <v>270.94</v>
      </c>
      <c r="D294">
        <v>0.05</v>
      </c>
      <c r="E294">
        <v>873320</v>
      </c>
      <c r="F294">
        <v>1270000</v>
      </c>
      <c r="G294">
        <v>3220</v>
      </c>
      <c r="H294">
        <f>Table2[[#This Row],[Volume (24h)]]/Table2[[#This Row],[Circulating Supply]]</f>
        <v>394.40993788819878</v>
      </c>
      <c r="I294">
        <f>RANK(Table2[[#This Row],[Market Cap]],Table2[Market Cap],0)</f>
        <v>293</v>
      </c>
      <c r="J294" t="str">
        <f t="shared" si="4"/>
        <v>100-10000</v>
      </c>
    </row>
    <row r="295" spans="1:10" x14ac:dyDescent="0.3">
      <c r="A295" t="s">
        <v>564</v>
      </c>
      <c r="B295" t="s">
        <v>564</v>
      </c>
      <c r="C295">
        <v>9.7230000000000003E-5</v>
      </c>
      <c r="D295">
        <v>0</v>
      </c>
      <c r="E295">
        <v>870690</v>
      </c>
      <c r="G295">
        <v>8950000000</v>
      </c>
      <c r="H295">
        <f>Table2[[#This Row],[Volume (24h)]]/Table2[[#This Row],[Circulating Supply]]</f>
        <v>0</v>
      </c>
      <c r="I295">
        <f>RANK(Table2[[#This Row],[Market Cap]],Table2[Market Cap],0)</f>
        <v>294</v>
      </c>
      <c r="J295" t="str">
        <f t="shared" si="4"/>
        <v>0-0.5</v>
      </c>
    </row>
    <row r="296" spans="1:10" x14ac:dyDescent="0.3">
      <c r="A296" t="s">
        <v>565</v>
      </c>
      <c r="B296" t="s">
        <v>566</v>
      </c>
      <c r="C296">
        <v>4.4310000000000002E-2</v>
      </c>
      <c r="D296">
        <v>0.13</v>
      </c>
      <c r="E296">
        <v>870390</v>
      </c>
      <c r="F296">
        <v>23600</v>
      </c>
      <c r="G296">
        <v>19630000</v>
      </c>
      <c r="H296">
        <f>Table2[[#This Row],[Volume (24h)]]/Table2[[#This Row],[Circulating Supply]]</f>
        <v>1.2022414671421294E-3</v>
      </c>
      <c r="I296">
        <f>RANK(Table2[[#This Row],[Market Cap]],Table2[Market Cap],0)</f>
        <v>295</v>
      </c>
      <c r="J296" t="str">
        <f t="shared" si="4"/>
        <v>0-0.5</v>
      </c>
    </row>
    <row r="297" spans="1:10" x14ac:dyDescent="0.3">
      <c r="A297" t="s">
        <v>567</v>
      </c>
      <c r="B297" t="s">
        <v>568</v>
      </c>
      <c r="C297">
        <v>20.239999999999998</v>
      </c>
      <c r="D297">
        <v>0.28000000000000003</v>
      </c>
      <c r="E297">
        <v>865490</v>
      </c>
      <c r="F297">
        <v>2150000</v>
      </c>
      <c r="G297">
        <v>42740</v>
      </c>
      <c r="H297">
        <f>Table2[[#This Row],[Volume (24h)]]/Table2[[#This Row],[Circulating Supply]]</f>
        <v>50.304164716892842</v>
      </c>
      <c r="I297">
        <f>RANK(Table2[[#This Row],[Market Cap]],Table2[Market Cap],0)</f>
        <v>296</v>
      </c>
      <c r="J297" t="str">
        <f t="shared" si="4"/>
        <v>10-100</v>
      </c>
    </row>
    <row r="298" spans="1:10" x14ac:dyDescent="0.3">
      <c r="A298" t="s">
        <v>569</v>
      </c>
      <c r="B298" t="s">
        <v>570</v>
      </c>
      <c r="C298">
        <v>1.406E-2</v>
      </c>
      <c r="D298">
        <v>0.12</v>
      </c>
      <c r="E298">
        <v>864710</v>
      </c>
      <c r="F298">
        <v>39030</v>
      </c>
      <c r="G298">
        <v>61470000</v>
      </c>
      <c r="H298">
        <f>Table2[[#This Row],[Volume (24h)]]/Table2[[#This Row],[Circulating Supply]]</f>
        <v>6.3494387506100533E-4</v>
      </c>
      <c r="I298">
        <f>RANK(Table2[[#This Row],[Market Cap]],Table2[Market Cap],0)</f>
        <v>297</v>
      </c>
      <c r="J298" t="str">
        <f t="shared" si="4"/>
        <v>0-0.5</v>
      </c>
    </row>
    <row r="299" spans="1:10" x14ac:dyDescent="0.3">
      <c r="A299" t="s">
        <v>571</v>
      </c>
      <c r="B299" t="s">
        <v>572</v>
      </c>
      <c r="C299">
        <v>6.8490000000000001E-3</v>
      </c>
      <c r="D299">
        <v>0.32</v>
      </c>
      <c r="E299">
        <v>863810</v>
      </c>
      <c r="F299">
        <v>75990</v>
      </c>
      <c r="G299">
        <v>126120000</v>
      </c>
      <c r="H299">
        <f>Table2[[#This Row],[Volume (24h)]]/Table2[[#This Row],[Circulating Supply]]</f>
        <v>6.0252140818268314E-4</v>
      </c>
      <c r="I299">
        <f>RANK(Table2[[#This Row],[Market Cap]],Table2[Market Cap],0)</f>
        <v>298</v>
      </c>
      <c r="J299" t="str">
        <f t="shared" si="4"/>
        <v>0-0.5</v>
      </c>
    </row>
    <row r="300" spans="1:10" x14ac:dyDescent="0.3">
      <c r="A300" t="s">
        <v>573</v>
      </c>
      <c r="B300" t="s">
        <v>574</v>
      </c>
      <c r="C300">
        <v>2.387E-4</v>
      </c>
      <c r="D300">
        <v>2.02</v>
      </c>
      <c r="E300">
        <v>863090</v>
      </c>
      <c r="F300">
        <v>182740</v>
      </c>
      <c r="G300">
        <v>3610000000</v>
      </c>
      <c r="H300">
        <f>Table2[[#This Row],[Volume (24h)]]/Table2[[#This Row],[Circulating Supply]]</f>
        <v>5.0620498614958451E-5</v>
      </c>
      <c r="I300">
        <f>RANK(Table2[[#This Row],[Market Cap]],Table2[Market Cap],0)</f>
        <v>299</v>
      </c>
      <c r="J300" t="str">
        <f t="shared" si="4"/>
        <v>0-0.5</v>
      </c>
    </row>
    <row r="301" spans="1:10" x14ac:dyDescent="0.3">
      <c r="A301" t="s">
        <v>575</v>
      </c>
      <c r="B301" t="s">
        <v>576</v>
      </c>
      <c r="C301">
        <v>9.1189999999999999E-4</v>
      </c>
      <c r="D301">
        <v>4.4800000000000004</v>
      </c>
      <c r="E301">
        <v>861080</v>
      </c>
      <c r="F301">
        <v>1760</v>
      </c>
      <c r="G301">
        <v>944180000</v>
      </c>
      <c r="H301">
        <f>Table2[[#This Row],[Volume (24h)]]/Table2[[#This Row],[Circulating Supply]]</f>
        <v>1.8640513461416256E-6</v>
      </c>
      <c r="I301">
        <f>RANK(Table2[[#This Row],[Market Cap]],Table2[Market Cap],0)</f>
        <v>300</v>
      </c>
      <c r="J301" t="str">
        <f t="shared" si="4"/>
        <v>0-0.5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97966-A908-4827-A908-DD32EEB949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closed_data</vt:lpstr>
      <vt:lpstr>Sheet1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SNEHITH MEKALA</cp:lastModifiedBy>
  <dcterms:created xsi:type="dcterms:W3CDTF">2026-07-31T21:16:28Z</dcterms:created>
  <dcterms:modified xsi:type="dcterms:W3CDTF">2026-07-31T22:04:12Z</dcterms:modified>
</cp:coreProperties>
</file>